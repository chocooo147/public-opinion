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77907b961a452f" /></Relationships>
</file>

<file path=xl/workbook.xml><?xml version="1.0" encoding="utf-8"?>
<x:workbook xmlns:x="http://schemas.openxmlformats.org/spreadsheetml/2006/main">
  <x:sheets>
    <x:sheet xmlns:r="http://schemas.openxmlformats.org/officeDocument/2006/relationships" name="摘要" sheetId="1" r:id="Rbbd4ab490a9b448d"/>
    <x:sheet xmlns:r="http://schemas.openxmlformats.org/officeDocument/2006/relationships" name="数据与质检" sheetId="2" r:id="Rf53b80170bff4a1c"/>
    <x:sheet xmlns:r="http://schemas.openxmlformats.org/officeDocument/2006/relationships" name="样本明细" sheetId="3" r:id="R1e10b9506f714fd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000"/>
    <x:numFmt numFmtId="202" formatCode="0.0%"/>
    <x:numFmt numFmtId="203" formatCode="0"/>
  </x:numFmts>
  <x:fonts count="8">
    <x:font>
      <x:sz val="11"/>
      <x:name val="Carlito"/>
    </x:font>
    <x:font>
      <x:b/>
      <x:sz val="11"/>
      <x:color rgb="FFFFFFFF"/>
      <x:name val="Carlito"/>
    </x:font>
    <x:font>
      <x:sz val="10"/>
      <x:color rgb="FF20303C"/>
      <x:name val="Carlito"/>
    </x:font>
    <x:font>
      <x:b/>
      <x:sz val="18"/>
      <x:color rgb="FFFFFFFF"/>
      <x:name val="Carlito"/>
    </x:font>
    <x:font>
      <x:i/>
      <x:sz val="11"/>
      <x:color rgb="FF5D6B76"/>
      <x:name val="Carlito"/>
    </x:font>
    <x:font>
      <x:b/>
      <x:sz val="20"/>
      <x:color rgb="FFFFFFFF"/>
      <x:name val="Carlito"/>
    </x:font>
    <x:font>
      <x:b/>
      <x:sz val="22"/>
      <x:color rgb="FF17344D"/>
      <x:name val="Carlito"/>
    </x:font>
    <x:font>
      <x:sz val="11"/>
      <x:color rgb="FF20303C"/>
      <x:name val="Carlito"/>
    </x:font>
  </x:fonts>
  <x:fills count="6">
    <x:fill>
      <x:patternFill patternType="none"/>
    </x:fill>
    <x:fill>
      <x:patternFill patternType="gray125"/>
    </x:fill>
    <x:fill>
      <x:patternFill patternType="solid">
        <x:fgColor rgb="FF17344D"/>
      </x:patternFill>
    </x:fill>
    <x:fill>
      <x:patternFill patternType="solid">
        <x:fgColor rgb="FFE8F1F7"/>
      </x:patternFill>
    </x:fill>
    <x:fill>
      <x:patternFill patternType="solid">
        <x:fgColor rgb="FF2F6384"/>
      </x:patternFill>
    </x:fill>
    <x:fill>
      <x:patternFill patternType="solid">
        <x:fgColor rgb="FFF7FAFC"/>
      </x:patternFill>
    </x:fill>
  </x:fills>
  <x:borders count="16">
    <x:border/>
    <x:border>
      <x:left style="thin">
        <x:color rgb="FF17344D"/>
      </x:left>
      <x:top style="thin">
        <x:color rgb="FF17344D"/>
      </x:top>
      <x:bottom style="thin">
        <x:color rgb="FF17344D"/>
      </x:bottom>
    </x:border>
    <x:border>
      <x:top style="thin">
        <x:color rgb="FF17344D"/>
      </x:top>
      <x:bottom style="thin">
        <x:color rgb="FF17344D"/>
      </x:bottom>
    </x:border>
    <x:border>
      <x:right style="thin">
        <x:color rgb="FF17344D"/>
      </x:right>
      <x:top style="thin">
        <x:color rgb="FF17344D"/>
      </x:top>
      <x:bottom style="thin">
        <x:color rgb="FF17344D"/>
      </x:bottom>
    </x:border>
    <x:border>
      <x:bottom style="thin">
        <x:color rgb="FFE6EDF2"/>
      </x:bottom>
    </x:border>
    <x:border>
      <x:top style="thin">
        <x:color rgb="FFE6EDF2"/>
      </x:top>
      <x:bottom style="thin">
        <x:color rgb="FFE6EDF2"/>
      </x:bottom>
    </x:border>
    <x:border>
      <x:top style="thin">
        <x:color rgb="FFE6EDF2"/>
      </x:top>
      <x:bottom style="thin">
        <x:color rgb="FFCBD7E0"/>
      </x:bottom>
    </x:border>
    <x:border>
      <x:bottom style="thin">
        <x:color rgb="FFE4EBF0"/>
      </x:bottom>
    </x:border>
    <x:border>
      <x:top style="thin">
        <x:color rgb="FFE4EBF0"/>
      </x:top>
      <x:bottom style="thin">
        <x:color rgb="FFE4EBF0"/>
      </x:bottom>
    </x:border>
    <x:border>
      <x:top style="thin">
        <x:color rgb="FFE4EBF0"/>
      </x:top>
    </x:border>
    <x:border>
      <x:left style="thin">
        <x:color rgb="FFCBD7E0"/>
      </x:left>
      <x:top style="thin">
        <x:color rgb="FFCBD7E0"/>
      </x:top>
    </x:border>
    <x:border>
      <x:top style="thin">
        <x:color rgb="FFCBD7E0"/>
      </x:top>
    </x:border>
    <x:border>
      <x:right style="thin">
        <x:color rgb="FFCBD7E0"/>
      </x:right>
      <x:top style="thin">
        <x:color rgb="FFCBD7E0"/>
      </x:top>
    </x:border>
    <x:border>
      <x:left style="thin">
        <x:color rgb="FFCBD7E0"/>
      </x:left>
      <x:bottom style="thin">
        <x:color rgb="FFCBD7E0"/>
      </x:bottom>
    </x:border>
    <x:border>
      <x:bottom style="thin">
        <x:color rgb="FFCBD7E0"/>
      </x:bottom>
    </x:border>
    <x:border>
      <x:right style="thin">
        <x:color rgb="FFCBD7E0"/>
      </x:right>
      <x:bottom style="thin">
        <x:color rgb="FFCBD7E0"/>
      </x:bottom>
    </x:border>
  </x:borders>
  <x:cellStyleXfs count="1">
    <x:xf numFmtId="0" fontId="0" fillId="0" borderId="0"/>
  </x:cellStyleXfs>
  <x:cellXfs count="1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vertical="top"/>
    </x:xf>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200" fontId="2" fillId="0" borderId="4" xfId="0" applyNumberFormat="1" applyFont="1" applyFill="1" applyBorder="1" applyAlignment="1">
      <x:alignment vertical="top"/>
    </x:xf>
    <x:xf numFmtId="200" fontId="2" fillId="0" borderId="5" xfId="0" applyNumberFormat="1" applyFont="1" applyFill="1" applyBorder="1" applyAlignment="1">
      <x:alignment vertical="top"/>
    </x:xf>
    <x:xf numFmtId="200" fontId="2" fillId="0" borderId="6" xfId="0" applyNumberFormat="1" applyFont="1" applyFill="1" applyBorder="1" applyAlignment="1">
      <x:alignment vertical="top"/>
    </x:xf>
    <x:xf numFmtId="201" fontId="2" fillId="0" borderId="4" xfId="0" applyNumberFormat="1" applyFont="1" applyFill="1" applyBorder="1" applyAlignment="1">
      <x:alignment vertical="top"/>
    </x:xf>
    <x:xf numFmtId="201" fontId="2" fillId="0" borderId="5" xfId="0" applyNumberFormat="1" applyFont="1" applyFill="1" applyBorder="1" applyAlignment="1">
      <x:alignment vertical="top"/>
    </x:xf>
    <x:xf numFmtId="201" fontId="2" fillId="0" borderId="6" xfId="0" applyNumberFormat="1" applyFont="1" applyFill="1" applyBorder="1" applyAlignment="1">
      <x:alignment vertical="top"/>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202" fontId="0" fillId="0" borderId="0" xfId="0" applyNumberFormat="1" applyFont="1" applyFill="1" applyBorder="1"/>
    <x:xf numFmtId="201" fontId="0" fillId="0" borderId="0" xfId="0" applyNumberFormat="1" applyFont="1" applyFill="1" applyBorder="1"/>
    <x:xf numFmtId="202" fontId="2" fillId="0" borderId="0" xfId="0" applyNumberFormat="1" applyFont="1" applyFill="1" applyBorder="1"/>
    <x:xf numFmtId="201" fontId="2" fillId="0" borderId="0" xfId="0" applyNumberFormat="1" applyFont="1" applyFill="1" applyBorder="1"/>
    <x:xf numFmtId="0" fontId="2" fillId="0" borderId="7" xfId="0" applyNumberFormat="1" applyFont="1" applyFill="1" applyBorder="1"/>
    <x:xf numFmtId="202" fontId="2" fillId="0" borderId="7" xfId="0" applyNumberFormat="1" applyFont="1" applyFill="1" applyBorder="1"/>
    <x:xf numFmtId="201" fontId="2" fillId="0" borderId="7" xfId="0" applyNumberFormat="1" applyFont="1" applyFill="1" applyBorder="1"/>
    <x:xf numFmtId="0" fontId="2" fillId="0" borderId="8" xfId="0" applyNumberFormat="1" applyFont="1" applyFill="1" applyBorder="1"/>
    <x:xf numFmtId="202" fontId="2" fillId="0" borderId="8" xfId="0" applyNumberFormat="1" applyFont="1" applyFill="1" applyBorder="1"/>
    <x:xf numFmtId="201" fontId="2" fillId="0" borderId="8" xfId="0" applyNumberFormat="1" applyFont="1" applyFill="1" applyBorder="1"/>
    <x:xf numFmtId="0" fontId="2" fillId="0" borderId="9" xfId="0" applyNumberFormat="1" applyFont="1" applyFill="1" applyBorder="1"/>
    <x:xf numFmtId="202" fontId="2" fillId="0" borderId="9" xfId="0" applyNumberFormat="1" applyFont="1" applyFill="1" applyBorder="1"/>
    <x:xf numFmtId="201" fontId="2" fillId="0" borderId="9" xfId="0" applyNumberFormat="1" applyFont="1" applyFill="1" applyBorder="1"/>
    <x:xf numFmtId="0" fontId="2" fillId="0" borderId="7" xfId="0" applyNumberFormat="1" applyFont="1" applyFill="1" applyBorder="1" applyAlignment="1">
      <x:alignment vertical="center"/>
    </x:xf>
    <x:xf numFmtId="202" fontId="2" fillId="0" borderId="7" xfId="0" applyNumberFormat="1" applyFont="1" applyFill="1" applyBorder="1" applyAlignment="1">
      <x:alignment vertical="center"/>
    </x:xf>
    <x:xf numFmtId="201" fontId="2" fillId="0" borderId="7" xfId="0" applyNumberFormat="1" applyFont="1" applyFill="1" applyBorder="1" applyAlignment="1">
      <x:alignment vertical="center"/>
    </x:xf>
    <x:xf numFmtId="0" fontId="2" fillId="0" borderId="8" xfId="0" applyNumberFormat="1" applyFont="1" applyFill="1" applyBorder="1" applyAlignment="1">
      <x:alignment vertical="center"/>
    </x:xf>
    <x:xf numFmtId="202" fontId="2" fillId="0" borderId="8" xfId="0" applyNumberFormat="1" applyFont="1" applyFill="1" applyBorder="1" applyAlignment="1">
      <x:alignment vertical="center"/>
    </x:xf>
    <x:xf numFmtId="201" fontId="2" fillId="0" borderId="8" xfId="0" applyNumberFormat="1" applyFont="1" applyFill="1" applyBorder="1" applyAlignment="1">
      <x:alignment vertical="center"/>
    </x:xf>
    <x:xf numFmtId="0" fontId="2" fillId="0" borderId="9" xfId="0" applyNumberFormat="1" applyFont="1" applyFill="1" applyBorder="1" applyAlignment="1">
      <x:alignment vertical="center"/>
    </x:xf>
    <x:xf numFmtId="202" fontId="2" fillId="0" borderId="9" xfId="0" applyNumberFormat="1" applyFont="1" applyFill="1" applyBorder="1" applyAlignment="1">
      <x:alignment vertical="center"/>
    </x:xf>
    <x:xf numFmtId="201" fontId="2" fillId="0" borderId="9" xfId="0" applyNumberFormat="1" applyFont="1" applyFill="1" applyBorder="1" applyAlignment="1">
      <x:alignment vertical="center"/>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0" xfId="0" applyNumberFormat="1" applyFont="1" applyFill="1" applyBorder="1" applyAlignment="1">
      <x:alignment horizontal="center"/>
    </x:xf>
    <x:xf numFmtId="0" fontId="6" fillId="5" borderId="11" xfId="0" applyNumberFormat="1" applyFont="1" applyFill="1" applyBorder="1" applyAlignment="1">
      <x:alignment horizontal="center"/>
    </x:xf>
    <x:xf numFmtId="0" fontId="6" fillId="5" borderId="12" xfId="0" applyNumberFormat="1" applyFont="1" applyFill="1" applyBorder="1" applyAlignment="1">
      <x:alignment horizontal="center"/>
    </x:xf>
    <x:xf numFmtId="0" fontId="6" fillId="5" borderId="13" xfId="0" applyNumberFormat="1" applyFont="1" applyFill="1" applyBorder="1" applyAlignment="1">
      <x:alignment horizontal="center"/>
    </x:xf>
    <x:xf numFmtId="0" fontId="6" fillId="5" borderId="14" xfId="0" applyNumberFormat="1" applyFont="1" applyFill="1" applyBorder="1" applyAlignment="1">
      <x:alignment horizontal="center"/>
    </x:xf>
    <x:xf numFmtId="0" fontId="6" fillId="5" borderId="15" xfId="0" applyNumberFormat="1" applyFont="1" applyFill="1" applyBorder="1" applyAlignment="1">
      <x:alignment horizontal="center"/>
    </x:xf>
    <x:xf numFmtId="0" fontId="6" fillId="5" borderId="10" xfId="0" applyNumberFormat="1" applyFont="1" applyFill="1" applyBorder="1" applyAlignment="1">
      <x:alignment horizontal="center" vertical="center"/>
    </x:xf>
    <x:xf numFmtId="0" fontId="6" fillId="5" borderId="11" xfId="0" applyNumberFormat="1" applyFont="1" applyFill="1" applyBorder="1" applyAlignment="1">
      <x:alignment horizontal="center" vertical="center"/>
    </x:xf>
    <x:xf numFmtId="0" fontId="6" fillId="5" borderId="12" xfId="0" applyNumberFormat="1" applyFont="1" applyFill="1" applyBorder="1" applyAlignment="1">
      <x:alignment horizontal="center" vertical="center"/>
    </x:xf>
    <x:xf numFmtId="0" fontId="6" fillId="5" borderId="13" xfId="0" applyNumberFormat="1" applyFont="1" applyFill="1" applyBorder="1" applyAlignment="1">
      <x:alignment horizontal="center" vertical="center"/>
    </x:xf>
    <x:xf numFmtId="0" fontId="6" fillId="5" borderId="14" xfId="0" applyNumberFormat="1" applyFont="1" applyFill="1" applyBorder="1" applyAlignment="1">
      <x:alignment horizontal="center" vertical="center"/>
    </x:xf>
    <x:xf numFmtId="0" fontId="6" fillId="5" borderId="15" xfId="0" applyNumberFormat="1" applyFont="1" applyFill="1" applyBorder="1" applyAlignment="1">
      <x:alignment horizontal="center" vertical="center"/>
    </x:xf>
    <x:xf numFmtId="203" fontId="0" fillId="0" borderId="0" xfId="0" applyNumberFormat="1" applyFont="1" applyFill="1" applyBorder="1"/>
    <x:xf numFmtId="0" fontId="7" fillId="0" borderId="0" xfId="0" applyNumberFormat="1" applyFont="1" applyFill="1" applyBorder="1"/>
    <x:xf numFmtId="202" fontId="7" fillId="0" borderId="0" xfId="0" applyNumberFormat="1" applyFont="1" applyFill="1" applyBorder="1"/>
    <x:xf numFmtId="203" fontId="7" fillId="0" borderId="0" xfId="0" applyNumberFormat="1" applyFont="1" applyFill="1" applyBorder="1"/>
    <x:xf numFmtId="0" fontId="7" fillId="0" borderId="7" xfId="0" applyNumberFormat="1" applyFont="1" applyFill="1" applyBorder="1"/>
    <x:xf numFmtId="202" fontId="7" fillId="0" borderId="7" xfId="0" applyNumberFormat="1" applyFont="1" applyFill="1" applyBorder="1"/>
    <x:xf numFmtId="203" fontId="7" fillId="0" borderId="7" xfId="0" applyNumberFormat="1" applyFont="1" applyFill="1" applyBorder="1"/>
    <x:xf numFmtId="0" fontId="7" fillId="0" borderId="8" xfId="0" applyNumberFormat="1" applyFont="1" applyFill="1" applyBorder="1"/>
    <x:xf numFmtId="202" fontId="7" fillId="0" borderId="8" xfId="0" applyNumberFormat="1" applyFont="1" applyFill="1" applyBorder="1"/>
    <x:xf numFmtId="203" fontId="7" fillId="0" borderId="8" xfId="0" applyNumberFormat="1" applyFont="1" applyFill="1" applyBorder="1"/>
    <x:xf numFmtId="0" fontId="7" fillId="0" borderId="9" xfId="0" applyNumberFormat="1" applyFont="1" applyFill="1" applyBorder="1"/>
    <x:xf numFmtId="202" fontId="7" fillId="0" borderId="9" xfId="0" applyNumberFormat="1" applyFont="1" applyFill="1" applyBorder="1"/>
    <x:xf numFmtId="203" fontId="7" fillId="0" borderId="9" xfId="0" applyNumberFormat="1" applyFont="1" applyFill="1" applyBorder="1"/>
    <x:xf numFmtId="0" fontId="7" fillId="0" borderId="7" xfId="0" applyNumberFormat="1" applyFont="1" applyFill="1" applyBorder="1" applyAlignment="1">
      <x:alignment vertical="center"/>
    </x:xf>
    <x:xf numFmtId="202" fontId="7" fillId="0" borderId="7" xfId="0" applyNumberFormat="1" applyFont="1" applyFill="1" applyBorder="1" applyAlignment="1">
      <x:alignment vertical="center"/>
    </x:xf>
    <x:xf numFmtId="203" fontId="7" fillId="0" borderId="7" xfId="0" applyNumberFormat="1" applyFont="1" applyFill="1" applyBorder="1" applyAlignment="1">
      <x:alignment vertical="center"/>
    </x:xf>
    <x:xf numFmtId="0" fontId="7" fillId="0" borderId="8" xfId="0" applyNumberFormat="1" applyFont="1" applyFill="1" applyBorder="1" applyAlignment="1">
      <x:alignment vertical="center"/>
    </x:xf>
    <x:xf numFmtId="202" fontId="7" fillId="0" borderId="8" xfId="0" applyNumberFormat="1" applyFont="1" applyFill="1" applyBorder="1" applyAlignment="1">
      <x:alignment vertical="center"/>
    </x:xf>
    <x:xf numFmtId="203" fontId="7" fillId="0" borderId="8" xfId="0" applyNumberFormat="1" applyFont="1" applyFill="1" applyBorder="1" applyAlignment="1">
      <x:alignment vertical="center"/>
    </x:xf>
    <x:xf numFmtId="0" fontId="7" fillId="0" borderId="9" xfId="0" applyNumberFormat="1" applyFont="1" applyFill="1" applyBorder="1" applyAlignment="1">
      <x:alignment vertical="center"/>
    </x:xf>
    <x:xf numFmtId="202" fontId="7" fillId="0" borderId="9" xfId="0" applyNumberFormat="1" applyFont="1" applyFill="1" applyBorder="1" applyAlignment="1">
      <x:alignment vertical="center"/>
    </x:xf>
    <x:xf numFmtId="203" fontId="7" fillId="0" borderId="9" xfId="0" applyNumberFormat="1" applyFont="1" applyFill="1" applyBorder="1" applyAlignment="1">
      <x:alignment vertical="center"/>
    </x:xf>
    <x:xf numFmtId="0" fontId="1" fillId="2" borderId="0" xfId="0" applyNumberFormat="1" applyFont="1" applyFill="1" applyBorder="1" applyAlignment="1">
      <x:alignment vertical="center"/>
    </x:xf>
    <x:xf numFmtId="0" fontId="7" fillId="5" borderId="0"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0" xfId="0" applyNumberFormat="1" applyFont="1" applyFill="1" applyBorder="1" applyAlignment="1">
      <x:alignment vertical="top" wrapText="1"/>
    </x:xf>
    <x:xf numFmtId="0" fontId="7" fillId="5" borderId="11" xfId="0" applyNumberFormat="1" applyFont="1" applyFill="1" applyBorder="1" applyAlignment="1">
      <x:alignment vertical="top" wrapText="1"/>
    </x:xf>
    <x:xf numFmtId="0" fontId="7" fillId="5" borderId="12"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4" xfId="0" applyNumberFormat="1" applyFont="1" applyFill="1" applyBorder="1" applyAlignment="1">
      <x:alignment vertical="top" wrapText="1"/>
    </x:xf>
    <x:xf numFmtId="0" fontId="7" fillId="5" borderId="15" xfId="0" applyNumberFormat="1" applyFont="1" applyFill="1" applyBorder="1" applyAlignment="1">
      <x:alignment vertical="top" wrapText="1"/>
    </x:xf>
  </x:cellXfs>
  <x:cellStyles count="1">
    <x:cellStyle name="Normal" xfId="0"/>
  </x:cellStyles>
  <x:dxfs count="6">
    <x:dxf>
      <x:font>
        <x:b/>
        <x:color rgb="FFB42318"/>
      </x:font>
      <x:fill>
        <x:patternFill patternType="solid">
          <x:bgColor rgb="FFFCE9E7"/>
        </x:patternFill>
      </x:fill>
    </x:dxf>
    <x:dxf>
      <x:font>
        <x:b/>
        <x:color rgb="FF177245"/>
      </x:font>
      <x:fill>
        <x:patternFill patternType="solid">
          <x:bgColor rgb="FFEAF4EA"/>
        </x:patternFill>
      </x:fill>
    </x:dxf>
    <x:dxf>
      <x:font>
        <x:b/>
        <x:color rgb="FF9A6700"/>
      </x:font>
      <x:fill>
        <x:patternFill patternType="solid">
          <x:bgColor rgb="FFFFF4D6"/>
        </x:patternFill>
      </x:fill>
    </x:dxf>
    <x:dxf>
      <x:font>
        <x:b/>
        <x:color rgb="FFB42318"/>
      </x:font>
      <x:fill>
        <x:patternFill patternType="solid">
          <x:bgColor rgb="FFFCE9E7"/>
        </x:patternFill>
      </x:fill>
    </x:dxf>
    <x:dxf>
      <x:font>
        <x:b/>
        <x:color rgb="FF177245"/>
      </x:font>
      <x:fill>
        <x:patternFill patternType="solid">
          <x:bgColor rgb="FFEAF4EA"/>
        </x:patternFill>
      </x:fill>
    </x:dxf>
    <x:dxf>
      <x:font>
        <x:b/>
        <x:color rgb="FFB42318"/>
      </x:font>
      <x:fill>
        <x:patternFill patternType="solid">
          <x:bgColor rgb="FFFC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5f8882c18b4ebb" /><Relationship Type="http://schemas.openxmlformats.org/officeDocument/2006/relationships/theme" Target="/xl/theme/theme1.xml" Id="Rb28c07f2a4e844e4" /><Relationship Type="http://schemas.openxmlformats.org/officeDocument/2006/relationships/sharedStrings" Target="/xl/sharedStrings.xml" Id="Rfc9775aed29d4337" /><Relationship Type="http://schemas.openxmlformats.org/officeDocument/2006/relationships/worksheet" Target="/xl/worksheets/sheet1.xml" Id="Rbbd4ab490a9b448d" /><Relationship Type="http://schemas.openxmlformats.org/officeDocument/2006/relationships/worksheet" Target="/xl/worksheets/sheet2.xml" Id="Rf53b80170bff4a1c" /><Relationship Type="http://schemas.openxmlformats.org/officeDocument/2006/relationships/worksheet" Target="/xl/worksheets/sheet3.xml" Id="R1e10b9506f714fd7" /></Relationships>
</file>

<file path=xl/drawings/_rels/drawing1.xml.rels>&#65279;<?xml version="1.0" encoding="utf-8"?><Relationships xmlns="http://schemas.openxmlformats.org/package/2006/relationships"><Relationship Type="http://schemas.openxmlformats.org/officeDocument/2006/relationships/chart" Target="/xl/drawings/charts/chart1.xml" Id="R71bc24d460ab4a1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B站映射评论数（有限样本）</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B站映射评论</c:v>
          </c:tx>
          <c:spPr>
            <a:solidFill xmlns:a="http://schemas.openxmlformats.org/drawingml/2006/main">
              <a:srgbClr val="2F6384"/>
            </a:solidFill>
          </c:spPr>
          <c:cat>
            <c:strRef>
              <c:f>'摘要'!$A$9:$A$16</c:f>
              <c:strCache>
                <c:ptCount val="0"/>
              </c:strCache>
            </c:strRef>
          </c:cat>
          <c:val>
            <c:numRef>
              <c:f>'摘要'!$B$9:$B$16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bc24d460ab4a19"/>
        </a:graphicData>
      </a:graphic>
    </xdr:graphicFrame>
    <xdr:clientData/>
  </xdr:twoCellAnchor>
</xdr:wsDr>
</file>

<file path=xl/tables/table1.xml><?xml version="1.0" encoding="utf-8"?>
<x:table xmlns:x="http://schemas.openxmlformats.org/spreadsheetml/2006/main" id="1" name="W30SampleDetail" displayName="W30SampleDetail" ref="A1:N124" headerRowCount="1" totalsRowCount="0" totalsRowShown="0">
  <x:tableColumns count="14">
    <x:tableColumn id="1" name="平台"/>
    <x:tableColumn id="2" name="发布时间"/>
    <x:tableColumn id="3" name="文本ID"/>
    <x:tableColumn id="4" name="来源类型"/>
    <x:tableColumn id="5" name="主题ID"/>
    <x:tableColumn id="6" name="主题名称"/>
    <x:tableColumn id="7" name="操作"/>
    <x:tableColumn id="8" name="置信度"/>
    <x:tableColumn id="9" name="离群"/>
    <x:tableColumn id="10" name="低置信度"/>
    <x:tableColumn id="11" name="可能误分"/>
    <x:tableColumn id="12" name="情感标签"/>
    <x:tableColumn id="13" name="文本"/>
    <x:tableColumn id="14" name="来源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2fce791844e4d80" /></Relationships>
</file>

<file path=xl/worksheets/_rels/sheet3.xml.rels>&#65279;<?xml version="1.0" encoding="utf-8"?><Relationships xmlns="http://schemas.openxmlformats.org/package/2006/relationships"><Relationship Type="http://schemas.openxmlformats.org/officeDocument/2006/relationships/table" Target="/xl/tables/table1.xml" Id="R98069e5c34ed48d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4" hidden="0" customWidth="1"/>
    <x:col min="5" max="5" width="14" hidden="0" customWidth="1"/>
    <x:col min="6" max="6" width="14" hidden="0" customWidth="1"/>
    <x:col min="7" max="7" width="3"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6" customHeight="1">
      <x:c r="A1" s="70" t="str">
        <x:v>APEX 中国区 W30 舆情样本周报</x:v>
      </x:c>
      <x:c r="B1" s="70"/>
      <x:c r="C1" s="70"/>
      <x:c r="D1" s="70"/>
      <x:c r="E1" s="70"/>
      <x:c r="F1" s="70"/>
      <x:c r="G1" s="70"/>
      <x:c r="H1" s="70"/>
      <x:c r="I1" s="70"/>
      <x:c r="J1" s="70"/>
      <x:c r="K1" s="70"/>
      <x:c r="L1" s="70"/>
      <x:c r="M1" s="70"/>
      <x:c r="N1" s="70"/>
    </x:row>
    <x:row r="2" ht="28" customHeight="1">
      <x:c r="A2" s="71" t="str">
        <x:v>2026-07-20—2026-07-26 · 有限真实样本 · 冻结 BERTopic + SnowNLP 模型推断 · 不具备正式统计报告资格</x:v>
      </x:c>
      <x:c r="B2" s="71"/>
      <x:c r="C2" s="71"/>
      <x:c r="D2" s="71"/>
      <x:c r="E2" s="71"/>
      <x:c r="F2" s="71"/>
      <x:c r="G2" s="71"/>
      <x:c r="H2" s="71"/>
      <x:c r="I2" s="71"/>
      <x:c r="J2" s="71"/>
      <x:c r="K2" s="71"/>
      <x:c r="L2" s="71"/>
      <x:c r="M2" s="71"/>
      <x:c r="N2" s="71"/>
    </x:row>
    <x:row r="4">
      <x:c r="A4" s="73" t="str">
        <x:v>B站评论样本</x:v>
      </x:c>
      <x:c r="B4" s="73" t="str">
        <x:v>B站评论样本</x:v>
      </x:c>
      <x:c r="C4" s="73" t="str">
        <x:v>B站评论样本</x:v>
      </x:c>
      <x:c r="E4" s="73" t="str">
        <x:v>B站映射评论</x:v>
      </x:c>
      <x:c r="F4" s="73" t="str">
        <x:v>B站映射评论</x:v>
      </x:c>
      <x:c r="G4" s="73" t="str">
        <x:v>B站映射评论</x:v>
      </x:c>
      <x:c r="I4" s="73" t="str">
        <x:v>小黑盒帖子卡</x:v>
      </x:c>
      <x:c r="J4" s="73" t="str">
        <x:v>小黑盒帖子卡</x:v>
      </x:c>
      <x:c r="K4" s="73" t="str">
        <x:v>小黑盒帖子卡</x:v>
      </x:c>
      <x:c r="M4" s="73" t="str">
        <x:v>小黑盒映射</x:v>
      </x:c>
      <x:c r="N4" s="73" t="str">
        <x:v>小黑盒映射</x:v>
      </x:c>
    </x:row>
    <x:row r="5">
      <x:c r="A5" s="88" t="n">
        <x:f>'数据与质检'!B18</x:f>
        <x:v>104</x:v>
      </x:c>
      <x:c r="B5" s="89"/>
      <x:c r="C5" s="90"/>
      <x:c r="E5" s="88" t="n">
        <x:f>'数据与质检'!B19</x:f>
        <x:v>42</x:v>
      </x:c>
      <x:c r="F5" s="89"/>
      <x:c r="G5" s="90"/>
      <x:c r="I5" s="88" t="n">
        <x:f>'数据与质检'!B23</x:f>
        <x:v>19</x:v>
      </x:c>
      <x:c r="J5" s="89"/>
      <x:c r="K5" s="90"/>
      <x:c r="M5" s="88" t="n">
        <x:f>'数据与质检'!B24</x:f>
        <x:v>12</x:v>
      </x:c>
      <x:c r="N5" s="90"/>
    </x:row>
    <x:row r="6">
      <x:c r="A6" s="91"/>
      <x:c r="B6" s="92"/>
      <x:c r="C6" s="93"/>
      <x:c r="E6" s="91"/>
      <x:c r="F6" s="92"/>
      <x:c r="G6" s="93"/>
      <x:c r="I6" s="91"/>
      <x:c r="J6" s="92"/>
      <x:c r="K6" s="93"/>
      <x:c r="M6" s="91"/>
      <x:c r="N6" s="93"/>
    </x:row>
    <x:row r="8" ht="28" customHeight="1">
      <x:c r="A8" s="37" t="str">
        <x:v>核心话题</x:v>
      </x:c>
      <x:c r="B8" s="37" t="str">
        <x:v>B站映射评论</x:v>
      </x:c>
      <x:c r="C8" s="37" t="str">
        <x:v>小黑盒帖子</x:v>
      </x:c>
      <x:c r="D8" s="37" t="str">
        <x:v>B站负面率</x:v>
      </x:c>
      <x:c r="E8" s="37" t="str">
        <x:v>风险分</x:v>
      </x:c>
      <x:c r="F8" s="37" t="str">
        <x:v>风险提示</x:v>
      </x:c>
    </x:row>
    <x:row r="9">
      <x:c r="A9" s="107" t="str">
        <x:v>赛事与主播</x:v>
      </x:c>
      <x:c r="B9" s="107" t="n">
        <x:f>'数据与质检'!B5</x:f>
        <x:v>11</x:v>
      </x:c>
      <x:c r="C9" s="107" t="n">
        <x:f>'数据与质检'!C5</x:f>
        <x:v>1</x:v>
      </x:c>
      <x:c r="D9" s="108" t="n">
        <x:f>'数据与质检'!F5</x:f>
        <x:v>0.45454545454545453</x:v>
      </x:c>
      <x:c r="E9" s="109" t="n">
        <x:v>35.75</x:v>
      </x:c>
      <x:c r="F9" s="107" t="str">
        <x:v>机会</x:v>
      </x:c>
    </x:row>
    <x:row r="10">
      <x:c r="A10" s="110" t="str">
        <x:v>排位与匹配</x:v>
      </x:c>
      <x:c r="B10" s="110" t="n">
        <x:f>'数据与质检'!B6</x:f>
        <x:v>6</x:v>
      </x:c>
      <x:c r="C10" s="110" t="n">
        <x:f>'数据与质检'!C6</x:f>
        <x:v>4</x:v>
      </x:c>
      <x:c r="D10" s="111" t="n">
        <x:f>'数据与质检'!F6</x:f>
        <x:v>0.1666666666666667</x:v>
      </x:c>
      <x:c r="E10" s="112" t="n">
        <x:v>49.6</x:v>
      </x:c>
      <x:c r="F10" s="110" t="str">
        <x:v>机会</x:v>
      </x:c>
    </x:row>
    <x:row r="11">
      <x:c r="A11" s="110" t="str">
        <x:v>赛季更新与玩法机制</x:v>
      </x:c>
      <x:c r="B11" s="110" t="n">
        <x:f>'数据与质检'!B7</x:f>
        <x:v>6</x:v>
      </x:c>
      <x:c r="C11" s="110" t="n">
        <x:f>'数据与质检'!C7</x:f>
        <x:v>1</x:v>
      </x:c>
      <x:c r="D11" s="111" t="n">
        <x:f>'数据与质检'!F7</x:f>
        <x:v>0.5000000000000001</x:v>
      </x:c>
      <x:c r="E11" s="112" t="n">
        <x:v>47.71</x:v>
      </x:c>
      <x:c r="F11" s="110" t="str">
        <x:v>机会</x:v>
      </x:c>
    </x:row>
    <x:row r="12">
      <x:c r="A12" s="110" t="str">
        <x:v>赛事与主播竞技讨论</x:v>
      </x:c>
      <x:c r="B12" s="110" t="n">
        <x:f>'数据与质检'!B8</x:f>
        <x:v>5</x:v>
      </x:c>
      <x:c r="C12" s="110" t="n">
        <x:f>'数据与质检'!C8</x:f>
        <x:v>1</x:v>
      </x:c>
      <x:c r="D12" s="111" t="n">
        <x:f>'数据与质检'!F8</x:f>
        <x:v>0.39999999999999997</x:v>
      </x:c>
      <x:c r="E12" s="112" t="n">
        <x:v>32</x:v>
      </x:c>
      <x:c r="F12" s="110" t="str">
        <x:v>机会</x:v>
      </x:c>
    </x:row>
    <x:row r="13">
      <x:c r="A13" s="110" t="str">
        <x:v>版本、排位与赛事混合</x:v>
      </x:c>
      <x:c r="B13" s="110" t="n">
        <x:f>'数据与质检'!B9</x:f>
        <x:v>4</x:v>
      </x:c>
      <x:c r="C13" s="110" t="n">
        <x:f>'数据与质检'!C9</x:f>
        <x:v>2</x:v>
      </x:c>
      <x:c r="D13" s="111" t="n">
        <x:f>'数据与质检'!F9</x:f>
        <x:v>0</x:v>
      </x:c>
      <x:c r="E13" s="112" t="n">
        <x:v>22.67</x:v>
      </x:c>
      <x:c r="F13" s="110" t="str">
        <x:v>机会</x:v>
      </x:c>
    </x:row>
    <x:row r="14">
      <x:c r="A14" s="110" t="str">
        <x:v>英雄技能与武器平衡</x:v>
      </x:c>
      <x:c r="B14" s="110" t="n">
        <x:f>'数据与质检'!B10</x:f>
        <x:v>3</x:v>
      </x:c>
      <x:c r="C14" s="110" t="n">
        <x:f>'数据与质检'!C10</x:f>
        <x:v>1</x:v>
      </x:c>
      <x:c r="D14" s="111" t="n">
        <x:f>'数据与质检'!F10</x:f>
        <x:v>0.33333333333333337</x:v>
      </x:c>
      <x:c r="E14" s="112" t="n">
        <x:v>45.25</x:v>
      </x:c>
      <x:c r="F14" s="110" t="str">
        <x:v>机会</x:v>
      </x:c>
    </x:row>
    <x:row r="15">
      <x:c r="A15" s="110" t="str">
        <x:v>赛博朋克联动与手柄体验</x:v>
      </x:c>
      <x:c r="B15" s="110" t="n">
        <x:f>'数据与质检'!B11</x:f>
        <x:v>1</x:v>
      </x:c>
      <x:c r="C15" s="110" t="n">
        <x:f>'数据与质检'!C11</x:f>
        <x:v>2</x:v>
      </x:c>
      <x:c r="D15" s="111" t="n">
        <x:f>'数据与质检'!F11</x:f>
        <x:v>1</x:v>
      </x:c>
      <x:c r="E15" s="112" t="n">
        <x:v>100</x:v>
      </x:c>
      <x:c r="F15" s="110" t="str">
        <x:v>风险</x:v>
      </x:c>
    </x:row>
    <x:row r="16">
      <x:c r="A16" s="110" t="str">
        <x:v>UP主视频反馈与设置求助</x:v>
      </x:c>
      <x:c r="B16" s="110" t="n">
        <x:f>'数据与质检'!B12</x:f>
        <x:v>2</x:v>
      </x:c>
      <x:c r="C16" s="110" t="n">
        <x:f>'数据与质检'!C12</x:f>
        <x:v>0</x:v>
      </x:c>
      <x:c r="D16" s="111" t="n">
        <x:f>'数据与质检'!F12</x:f>
        <x:v>0</x:v>
      </x:c>
      <x:c r="E16" s="112" t="n">
        <x:v>5</x:v>
      </x:c>
      <x:c r="F16" s="110" t="str">
        <x:v>机会</x:v>
      </x:c>
    </x:row>
    <x:row r="17">
      <x:c r="A17" s="110" t="str">
        <x:v>武器与英雄强度</x:v>
      </x:c>
      <x:c r="B17" s="110" t="n">
        <x:f>'数据与质检'!B13</x:f>
        <x:v>1</x:v>
      </x:c>
      <x:c r="C17" s="110" t="n">
        <x:f>'数据与质检'!C13</x:f>
        <x:v>0</x:v>
      </x:c>
      <x:c r="D17" s="111" t="n">
        <x:f>'数据与质检'!F13</x:f>
        <x:v>0</x:v>
      </x:c>
      <x:c r="E17" s="112" t="n">
        <x:v>8</x:v>
      </x:c>
      <x:c r="F17" s="110" t="str">
        <x:v>机会</x:v>
      </x:c>
    </x:row>
    <x:row r="18">
      <x:c r="A18" s="113" t="str">
        <x:v>英雄与武器强度</x:v>
      </x:c>
      <x:c r="B18" s="113" t="n">
        <x:f>'数据与质检'!B14</x:f>
        <x:v>1</x:v>
      </x:c>
      <x:c r="C18" s="113" t="n">
        <x:f>'数据与质检'!C14</x:f>
        <x:v>0</x:v>
      </x:c>
      <x:c r="D18" s="114" t="n">
        <x:f>'数据与质检'!F14</x:f>
        <x:v>0</x:v>
      </x:c>
      <x:c r="E18" s="115" t="n">
        <x:v>2</x:v>
      </x:c>
      <x:c r="F18" s="113" t="str">
        <x:v>机会</x:v>
      </x:c>
    </x:row>
    <x:row r="22" ht="26" customHeight="1">
      <x:c r="A22" s="116" t="str">
        <x:v>本周观察与边界</x:v>
      </x:c>
      <x:c r="B22" s="116"/>
      <x:c r="C22" s="116"/>
      <x:c r="D22" s="116"/>
      <x:c r="E22" s="116"/>
      <x:c r="F22" s="116"/>
      <x:c r="G22" s="116"/>
      <x:c r="H22" s="116"/>
      <x:c r="I22" s="116"/>
      <x:c r="J22" s="116"/>
      <x:c r="K22" s="116"/>
      <x:c r="L22" s="116"/>
      <x:c r="M22" s="116"/>
      <x:c r="N22" s="116"/>
    </x:row>
    <x:row r="23" ht="45" customHeight="1">
      <x:c r="A23" s="130" t="str">
        <x:v>• B站有限样本中的赛事资格赛、排位与外挂体验、社区主播讨论较集中；该判断不外推至平台整体。
• 小黑盒公开搜索结果卡中，PLQ、队伍变化、服务器稳定性与联动奖励讨论较集中；未采集评论正文。
• 质量提示：B站低置信度 55 条、离群 37 条；小黑盒低置信度 6 条、离群 6 条。
• 两平台计数单位不同，综合视图只用于主题线索，不得相加为跨平台总量；SnowNLP 情感与风险均为未经人工校准的模型推断。</x:v>
      </x:c>
      <x:c r="B23" s="131"/>
      <x:c r="C23" s="131"/>
      <x:c r="D23" s="131"/>
      <x:c r="E23" s="131"/>
      <x:c r="F23" s="131"/>
      <x:c r="G23" s="131"/>
      <x:c r="H23" s="131"/>
      <x:c r="I23" s="131"/>
      <x:c r="J23" s="131"/>
      <x:c r="K23" s="131"/>
      <x:c r="L23" s="131"/>
      <x:c r="M23" s="131"/>
      <x:c r="N23" s="132"/>
    </x:row>
    <x:row r="24" ht="45" customHeight="1">
      <x:c r="A24" s="133"/>
      <x:c r="B24" s="134"/>
      <x:c r="C24" s="134"/>
      <x:c r="D24" s="134"/>
      <x:c r="E24" s="134"/>
      <x:c r="F24" s="134"/>
      <x:c r="G24" s="134"/>
      <x:c r="H24" s="134"/>
      <x:c r="I24" s="134"/>
      <x:c r="J24" s="134"/>
      <x:c r="K24" s="134"/>
      <x:c r="L24" s="134"/>
      <x:c r="M24" s="134"/>
      <x:c r="N24" s="135"/>
    </x:row>
  </x:sheetData>
  <x:mergeCells>
    <x:mergeCell ref="A1:N1"/>
    <x:mergeCell ref="A2:N2"/>
    <x:mergeCell ref="A4:C4"/>
    <x:mergeCell ref="A5:C6"/>
    <x:mergeCell ref="E4:G4"/>
    <x:mergeCell ref="E5:G6"/>
    <x:mergeCell ref="I4:K4"/>
    <x:mergeCell ref="I5:K6"/>
    <x:mergeCell ref="M4:N4"/>
    <x:mergeCell ref="M5:N6"/>
    <x:mergeCell ref="A22:N22"/>
    <x:mergeCell ref="A23:N24"/>
  </x:mergeCells>
  <x:conditionalFormatting sqref="F9:F18">
    <x:cfRule type="containsText" dxfId="5" priority="1" operator="containsText" text="风险"/>
  </x:conditionalFormatting>
  <x:pageMargins left="0.7" right="0.7" top="0.75" bottom="0.75" header="0.3" footer="0.3"/>
  <x:drawing xmlns:r="http://schemas.openxmlformats.org/officeDocument/2006/relationships" r:id="Rc2fce791844e4d80"/>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17" hidden="0" customWidth="1"/>
    <x:col min="4" max="4" width="23" hidden="0" customWidth="1"/>
    <x:col min="5" max="5" width="54" hidden="0" customWidth="1"/>
    <x:col min="6" max="6" width="12" hidden="0" customWidth="1"/>
    <x:col min="7" max="7" width="16" hidden="0" customWidth="1"/>
    <x:col min="8" max="8" width="16" hidden="0" customWidth="1"/>
    <x:col min="9" max="9" width="34" hidden="0" customWidth="1"/>
    <x:col min="10" max="10" width="34" hidden="0" customWidth="1"/>
  </x:cols>
  <x:sheetData>
    <x:row r="1" ht="32" customHeight="1">
      <x:c r="A1" s="29" t="str">
        <x:v>W30 数据来源与质量检查</x:v>
      </x:c>
      <x:c r="B1" s="29"/>
      <x:c r="C1" s="29"/>
      <x:c r="D1" s="29"/>
      <x:c r="E1" s="29"/>
      <x:c r="F1" s="29"/>
      <x:c r="G1" s="29"/>
      <x:c r="H1" s="29"/>
      <x:c r="I1" s="29"/>
      <x:c r="J1" s="29"/>
    </x:row>
    <x:row r="2" ht="34" customHeight="1">
      <x:c r="A2" s="33" t="str">
        <x:v>模型探索性输出：B站按评论计数，小黑盒按公开搜索可见帖子计数；两者单位不同，不得合并为平台总量。SnowNLP 情感与风险分未经独立人工校准。</x:v>
      </x:c>
      <x:c r="B2" s="33"/>
      <x:c r="C2" s="33"/>
      <x:c r="D2" s="33"/>
      <x:c r="E2" s="33"/>
      <x:c r="F2" s="33"/>
      <x:c r="G2" s="33"/>
      <x:c r="H2" s="33"/>
      <x:c r="I2" s="33"/>
      <x:c r="J2" s="33"/>
    </x:row>
    <x:row r="4" ht="30" customHeight="1">
      <x:c r="A4" s="37" t="str">
        <x:v>话题</x:v>
      </x:c>
      <x:c r="B4" s="37" t="str">
        <x:v>B站映射评论</x:v>
      </x:c>
      <x:c r="C4" s="37" t="str">
        <x:v>小黑盒可见帖子</x:v>
      </x:c>
      <x:c r="D4" s="37" t="str">
        <x:v>积极</x:v>
      </x:c>
      <x:c r="E4" s="37" t="str">
        <x:v>中性</x:v>
      </x:c>
      <x:c r="F4" s="37" t="str">
        <x:v>负面</x:v>
      </x:c>
      <x:c r="G4" s="37" t="str">
        <x:v>平均分</x:v>
      </x:c>
      <x:c r="H4" s="37" t="str">
        <x:v>模型情感</x:v>
      </x:c>
      <x:c r="I4" s="37" t="str">
        <x:v>B站来源</x:v>
      </x:c>
      <x:c r="J4" s="37" t="str">
        <x:v>小黑盒来源</x:v>
      </x:c>
    </x:row>
    <x:row r="5">
      <x:c r="A5" s="51" t="str">
        <x:v>赛事与主播</x:v>
      </x:c>
      <x:c r="B5" s="51" t="n">
        <x:f>COUNTIFS('样本明细'!$A$2:$A$124,"B站",'样本明细'!$F$2:$F$124,$A5,'样本明细'!$G$2:$G$124,"retain")</x:f>
        <x:v>11</x:v>
      </x:c>
      <x:c r="C5" s="51" t="n">
        <x:f>COUNTIFS('样本明细'!$A$2:$A$124,"小黑盒",'样本明细'!$F$2:$F$124,$A5,'样本明细'!$G$2:$G$124,"retain")</x:f>
        <x:v>1</x:v>
      </x:c>
      <x:c r="D5" s="52" t="n">
        <x:f>IF($B5=0,0,COUNTIFS('样本明细'!$A$2:$A$124,"B站",'样本明细'!$F$2:$F$124,$A5,'样本明细'!$G$2:$G$124,"retain",'样本明细'!$L$2:$L$124,"positive")/$B5)</x:f>
        <x:v>0.36363636363636365</x:v>
      </x:c>
      <x:c r="E5" s="52" t="n">
        <x:f>IF($B5=0,0,COUNTIFS('样本明细'!$A$2:$A$124,"B站",'样本明细'!$F$2:$F$124,$A5,'样本明细'!$G$2:$G$124,"retain",'样本明细'!$L$2:$L$124,"neutral")/$B5)</x:f>
        <x:v>0.18181818181818182</x:v>
      </x:c>
      <x:c r="F5" s="52" t="n">
        <x:f>IF($B5=0,0,1-$D5-$E5)</x:f>
        <x:v>0.45454545454545453</x:v>
      </x:c>
      <x:c r="G5" s="53" t="n">
        <x:v>0.488949</x:v>
      </x:c>
      <x:c r="H5" s="51" t="str">
        <x:v>Negative</x:v>
      </x:c>
      <x:c r="I5" s="51" t="str">
        <x:v>https://www.bilibili.com</x:v>
      </x:c>
      <x:c r="J5" s="51" t="str">
        <x:v>https://www.xiaoheihe.cn</x:v>
      </x:c>
    </x:row>
    <x:row r="6">
      <x:c r="A6" s="54" t="str">
        <x:v>排位与匹配</x:v>
      </x:c>
      <x:c r="B6" s="54" t="n">
        <x:f>COUNTIFS('样本明细'!$A$2:$A$124,"B站",'样本明细'!$F$2:$F$124,$A6,'样本明细'!$G$2:$G$124,"retain")</x:f>
        <x:v>6</x:v>
      </x:c>
      <x:c r="C6" s="54" t="n">
        <x:f>COUNTIFS('样本明细'!$A$2:$A$124,"小黑盒",'样本明细'!$F$2:$F$124,$A6,'样本明细'!$G$2:$G$124,"retain")</x:f>
        <x:v>4</x:v>
      </x:c>
      <x:c r="D6" s="55" t="n">
        <x:f>IF($B6=0,0,COUNTIFS('样本明细'!$A$2:$A$124,"B站",'样本明细'!$F$2:$F$124,$A6,'样本明细'!$G$2:$G$124,"retain",'样本明细'!$L$2:$L$124,"positive")/$B6)</x:f>
        <x:v>0.6666666666666666</x:v>
      </x:c>
      <x:c r="E6" s="55" t="n">
        <x:f>IF($B6=0,0,COUNTIFS('样本明细'!$A$2:$A$124,"B站",'样本明细'!$F$2:$F$124,$A6,'样本明细'!$G$2:$G$124,"retain",'样本明细'!$L$2:$L$124,"neutral")/$B6)</x:f>
        <x:v>0.16666666666666666</x:v>
      </x:c>
      <x:c r="F6" s="55" t="n">
        <x:f>IF($B6=0,0,1-$D6-$E6)</x:f>
        <x:v>0.1666666666666667</x:v>
      </x:c>
      <x:c r="G6" s="56" t="n">
        <x:v>0.738009</x:v>
      </x:c>
      <x:c r="H6" s="54" t="str">
        <x:v>Positive</x:v>
      </x:c>
      <x:c r="I6" s="54" t="str">
        <x:v>https://www.bilibili.com</x:v>
      </x:c>
      <x:c r="J6" s="54" t="str">
        <x:v>https://www.xiaoheihe.cn</x:v>
      </x:c>
    </x:row>
    <x:row r="7">
      <x:c r="A7" s="54" t="str">
        <x:v>赛季更新与玩法机制</x:v>
      </x:c>
      <x:c r="B7" s="54" t="n">
        <x:f>COUNTIFS('样本明细'!$A$2:$A$124,"B站",'样本明细'!$F$2:$F$124,$A7,'样本明细'!$G$2:$G$124,"retain")</x:f>
        <x:v>6</x:v>
      </x:c>
      <x:c r="C7" s="54" t="n">
        <x:f>COUNTIFS('样本明细'!$A$2:$A$124,"小黑盒",'样本明细'!$F$2:$F$124,$A7,'样本明细'!$G$2:$G$124,"retain")</x:f>
        <x:v>1</x:v>
      </x:c>
      <x:c r="D7" s="55" t="n">
        <x:f>IF($B7=0,0,COUNTIFS('样本明细'!$A$2:$A$124,"B站",'样本明细'!$F$2:$F$124,$A7,'样本明细'!$G$2:$G$124,"retain",'样本明细'!$L$2:$L$124,"positive")/$B7)</x:f>
        <x:v>0.3333333333333333</x:v>
      </x:c>
      <x:c r="E7" s="55" t="n">
        <x:f>IF($B7=0,0,COUNTIFS('样本明细'!$A$2:$A$124,"B站",'样本明细'!$F$2:$F$124,$A7,'样本明细'!$G$2:$G$124,"retain",'样本明细'!$L$2:$L$124,"neutral")/$B7)</x:f>
        <x:v>0.16666666666666666</x:v>
      </x:c>
      <x:c r="F7" s="55" t="n">
        <x:f>IF($B7=0,0,1-$D7-$E7)</x:f>
        <x:v>0.5000000000000001</x:v>
      </x:c>
      <x:c r="G7" s="56" t="n">
        <x:v>0.439188</x:v>
      </x:c>
      <x:c r="H7" s="54" t="str">
        <x:v>Negative</x:v>
      </x:c>
      <x:c r="I7" s="54" t="str">
        <x:v>https://www.bilibili.com</x:v>
      </x:c>
      <x:c r="J7" s="54" t="str">
        <x:v>https://www.xiaoheihe.cn</x:v>
      </x:c>
    </x:row>
    <x:row r="8">
      <x:c r="A8" s="54" t="str">
        <x:v>赛事与主播竞技讨论</x:v>
      </x:c>
      <x:c r="B8" s="54" t="n">
        <x:f>COUNTIFS('样本明细'!$A$2:$A$124,"B站",'样本明细'!$F$2:$F$124,$A8,'样本明细'!$G$2:$G$124,"retain")</x:f>
        <x:v>5</x:v>
      </x:c>
      <x:c r="C8" s="54" t="n">
        <x:f>COUNTIFS('样本明细'!$A$2:$A$124,"小黑盒",'样本明细'!$F$2:$F$124,$A8,'样本明细'!$G$2:$G$124,"retain")</x:f>
        <x:v>1</x:v>
      </x:c>
      <x:c r="D8" s="55" t="n">
        <x:f>IF($B8=0,0,COUNTIFS('样本明细'!$A$2:$A$124,"B站",'样本明细'!$F$2:$F$124,$A8,'样本明细'!$G$2:$G$124,"retain",'样本明细'!$L$2:$L$124,"positive")/$B8)</x:f>
        <x:v>0.4</x:v>
      </x:c>
      <x:c r="E8" s="55" t="n">
        <x:f>IF($B8=0,0,COUNTIFS('样本明细'!$A$2:$A$124,"B站",'样本明细'!$F$2:$F$124,$A8,'样本明细'!$G$2:$G$124,"retain",'样本明细'!$L$2:$L$124,"neutral")/$B8)</x:f>
        <x:v>0.2</x:v>
      </x:c>
      <x:c r="F8" s="55" t="n">
        <x:f>IF($B8=0,0,1-$D8-$E8)</x:f>
        <x:v>0.39999999999999997</x:v>
      </x:c>
      <x:c r="G8" s="56" t="n">
        <x:v>0.535611</x:v>
      </x:c>
      <x:c r="H8" s="54" t="str">
        <x:v>Positive</x:v>
      </x:c>
      <x:c r="I8" s="54" t="str">
        <x:v>https://www.bilibili.com</x:v>
      </x:c>
      <x:c r="J8" s="54" t="str">
        <x:v>https://www.xiaoheihe.cn</x:v>
      </x:c>
    </x:row>
    <x:row r="9">
      <x:c r="A9" s="54" t="str">
        <x:v>版本、排位与赛事混合</x:v>
      </x:c>
      <x:c r="B9" s="54" t="n">
        <x:f>COUNTIFS('样本明细'!$A$2:$A$124,"B站",'样本明细'!$F$2:$F$124,$A9,'样本明细'!$G$2:$G$124,"retain")</x:f>
        <x:v>4</x:v>
      </x:c>
      <x:c r="C9" s="54" t="n">
        <x:f>COUNTIFS('样本明细'!$A$2:$A$124,"小黑盒",'样本明细'!$F$2:$F$124,$A9,'样本明细'!$G$2:$G$124,"retain")</x:f>
        <x:v>2</x:v>
      </x:c>
      <x:c r="D9" s="55" t="n">
        <x:f>IF($B9=0,0,COUNTIFS('样本明细'!$A$2:$A$124,"B站",'样本明细'!$F$2:$F$124,$A9,'样本明细'!$G$2:$G$124,"retain",'样本明细'!$L$2:$L$124,"positive")/$B9)</x:f>
        <x:v>0.75</x:v>
      </x:c>
      <x:c r="E9" s="55" t="n">
        <x:f>IF($B9=0,0,COUNTIFS('样本明细'!$A$2:$A$124,"B站",'样本明细'!$F$2:$F$124,$A9,'样本明细'!$G$2:$G$124,"retain",'样本明细'!$L$2:$L$124,"neutral")/$B9)</x:f>
        <x:v>0.25</x:v>
      </x:c>
      <x:c r="F9" s="55" t="n">
        <x:f>IF($B9=0,0,1-$D9-$E9)</x:f>
        <x:v>0</x:v>
      </x:c>
      <x:c r="G9" s="56" t="n">
        <x:v>0.794678</x:v>
      </x:c>
      <x:c r="H9" s="54" t="str">
        <x:v>Positive</x:v>
      </x:c>
      <x:c r="I9" s="54" t="str">
        <x:v>https://www.bilibili.com</x:v>
      </x:c>
      <x:c r="J9" s="54" t="str">
        <x:v>https://www.xiaoheihe.cn</x:v>
      </x:c>
    </x:row>
    <x:row r="10">
      <x:c r="A10" s="54" t="str">
        <x:v>英雄技能与武器平衡</x:v>
      </x:c>
      <x:c r="B10" s="54" t="n">
        <x:f>COUNTIFS('样本明细'!$A$2:$A$124,"B站",'样本明细'!$F$2:$F$124,$A10,'样本明细'!$G$2:$G$124,"retain")</x:f>
        <x:v>3</x:v>
      </x:c>
      <x:c r="C10" s="54" t="n">
        <x:f>COUNTIFS('样本明细'!$A$2:$A$124,"小黑盒",'样本明细'!$F$2:$F$124,$A10,'样本明细'!$G$2:$G$124,"retain")</x:f>
        <x:v>1</x:v>
      </x:c>
      <x:c r="D10" s="55" t="n">
        <x:f>IF($B10=0,0,COUNTIFS('样本明细'!$A$2:$A$124,"B站",'样本明细'!$F$2:$F$124,$A10,'样本明细'!$G$2:$G$124,"retain",'样本明细'!$L$2:$L$124,"positive")/$B10)</x:f>
        <x:v>0</x:v>
      </x:c>
      <x:c r="E10" s="55" t="n">
        <x:f>IF($B10=0,0,COUNTIFS('样本明细'!$A$2:$A$124,"B站",'样本明细'!$F$2:$F$124,$A10,'样本明细'!$G$2:$G$124,"retain",'样本明细'!$L$2:$L$124,"neutral")/$B10)</x:f>
        <x:v>0.6666666666666666</x:v>
      </x:c>
      <x:c r="F10" s="55" t="n">
        <x:f>IF($B10=0,0,1-$D10-$E10)</x:f>
        <x:v>0.33333333333333337</x:v>
      </x:c>
      <x:c r="G10" s="56" t="n">
        <x:v>0.39208</x:v>
      </x:c>
      <x:c r="H10" s="54" t="str">
        <x:v>Neutral</x:v>
      </x:c>
      <x:c r="I10" s="54" t="str">
        <x:v>https://www.bilibili.com</x:v>
      </x:c>
      <x:c r="J10" s="54" t="str">
        <x:v>https://www.xiaoheihe.cn</x:v>
      </x:c>
    </x:row>
    <x:row r="11">
      <x:c r="A11" s="54" t="str">
        <x:v>赛博朋克联动与手柄体验</x:v>
      </x:c>
      <x:c r="B11" s="54" t="n">
        <x:f>COUNTIFS('样本明细'!$A$2:$A$124,"B站",'样本明细'!$F$2:$F$124,$A11,'样本明细'!$G$2:$G$124,"retain")</x:f>
        <x:v>1</x:v>
      </x:c>
      <x:c r="C11" s="54" t="n">
        <x:f>COUNTIFS('样本明细'!$A$2:$A$124,"小黑盒",'样本明细'!$F$2:$F$124,$A11,'样本明细'!$G$2:$G$124,"retain")</x:f>
        <x:v>2</x:v>
      </x:c>
      <x:c r="D11" s="55" t="n">
        <x:f>IF($B11=0,0,COUNTIFS('样本明细'!$A$2:$A$124,"B站",'样本明细'!$F$2:$F$124,$A11,'样本明细'!$G$2:$G$124,"retain",'样本明细'!$L$2:$L$124,"positive")/$B11)</x:f>
        <x:v>0</x:v>
      </x:c>
      <x:c r="E11" s="55" t="n">
        <x:f>IF($B11=0,0,COUNTIFS('样本明细'!$A$2:$A$124,"B站",'样本明细'!$F$2:$F$124,$A11,'样本明细'!$G$2:$G$124,"retain",'样本明细'!$L$2:$L$124,"neutral")/$B11)</x:f>
        <x:v>0</x:v>
      </x:c>
      <x:c r="F11" s="55" t="n">
        <x:f>IF($B11=0,0,1-$D11-$E11)</x:f>
        <x:v>1</x:v>
      </x:c>
      <x:c r="G11" s="56" t="n">
        <x:v>0.109188</x:v>
      </x:c>
      <x:c r="H11" s="54" t="str">
        <x:v>Negative</x:v>
      </x:c>
      <x:c r="I11" s="54" t="str">
        <x:v>https://www.bilibili.com</x:v>
      </x:c>
      <x:c r="J11" s="54" t="str">
        <x:v>https://www.xiaoheihe.cn</x:v>
      </x:c>
    </x:row>
    <x:row r="12">
      <x:c r="A12" s="54" t="str">
        <x:v>UP主视频反馈与设置求助</x:v>
      </x:c>
      <x:c r="B12" s="54" t="n">
        <x:f>COUNTIFS('样本明细'!$A$2:$A$124,"B站",'样本明细'!$F$2:$F$124,$A12,'样本明细'!$G$2:$G$124,"retain")</x:f>
        <x:v>2</x:v>
      </x:c>
      <x:c r="C12" s="54" t="n">
        <x:f>COUNTIFS('样本明细'!$A$2:$A$124,"小黑盒",'样本明细'!$F$2:$F$124,$A12,'样本明细'!$G$2:$G$124,"retain")</x:f>
        <x:v>0</x:v>
      </x:c>
      <x:c r="D12" s="55" t="n">
        <x:f>IF($B12=0,0,COUNTIFS('样本明细'!$A$2:$A$124,"B站",'样本明细'!$F$2:$F$124,$A12,'样本明细'!$G$2:$G$124,"retain",'样本明细'!$L$2:$L$124,"positive")/$B12)</x:f>
        <x:v>0.5</x:v>
      </x:c>
      <x:c r="E12" s="55" t="n">
        <x:f>IF($B12=0,0,COUNTIFS('样本明细'!$A$2:$A$124,"B站",'样本明细'!$F$2:$F$124,$A12,'样本明细'!$G$2:$G$124,"retain",'样本明细'!$L$2:$L$124,"neutral")/$B12)</x:f>
        <x:v>0.5</x:v>
      </x:c>
      <x:c r="F12" s="55" t="n">
        <x:f>IF($B12=0,0,1-$D12-$E12)</x:f>
        <x:v>0</x:v>
      </x:c>
      <x:c r="G12" s="56" t="n">
        <x:v>0.653046</x:v>
      </x:c>
      <x:c r="H12" s="54" t="str">
        <x:v>Positive</x:v>
      </x:c>
      <x:c r="I12" s="54" t="str">
        <x:v>https://www.bilibili.com</x:v>
      </x:c>
      <x:c r="J12" s="54" t="str">
        <x:v>https://www.xiaoheihe.cn</x:v>
      </x:c>
    </x:row>
    <x:row r="13">
      <x:c r="A13" s="54" t="str">
        <x:v>武器与英雄强度</x:v>
      </x:c>
      <x:c r="B13" s="54" t="n">
        <x:f>COUNTIFS('样本明细'!$A$2:$A$124,"B站",'样本明细'!$F$2:$F$124,$A13,'样本明细'!$G$2:$G$124,"retain")</x:f>
        <x:v>1</x:v>
      </x:c>
      <x:c r="C13" s="54" t="n">
        <x:f>COUNTIFS('样本明细'!$A$2:$A$124,"小黑盒",'样本明细'!$F$2:$F$124,$A13,'样本明细'!$G$2:$G$124,"retain")</x:f>
        <x:v>0</x:v>
      </x:c>
      <x:c r="D13" s="55" t="n">
        <x:f>IF($B13=0,0,COUNTIFS('样本明细'!$A$2:$A$124,"B站",'样本明细'!$F$2:$F$124,$A13,'样本明细'!$G$2:$G$124,"retain",'样本明细'!$L$2:$L$124,"positive")/$B13)</x:f>
        <x:v>0</x:v>
      </x:c>
      <x:c r="E13" s="55" t="n">
        <x:f>IF($B13=0,0,COUNTIFS('样本明细'!$A$2:$A$124,"B站",'样本明细'!$F$2:$F$124,$A13,'样本明细'!$G$2:$G$124,"retain",'样本明细'!$L$2:$L$124,"neutral")/$B13)</x:f>
        <x:v>1</x:v>
      </x:c>
      <x:c r="F13" s="55" t="n">
        <x:f>IF($B13=0,0,1-$D13-$E13)</x:f>
        <x:v>0</x:v>
      </x:c>
      <x:c r="G13" s="56" t="n">
        <x:v>0.427434</x:v>
      </x:c>
      <x:c r="H13" s="54" t="str">
        <x:v>Neutral</x:v>
      </x:c>
      <x:c r="I13" s="54" t="str">
        <x:v>https://www.bilibili.com</x:v>
      </x:c>
      <x:c r="J13" s="54" t="str">
        <x:v>https://www.xiaoheihe.cn</x:v>
      </x:c>
    </x:row>
    <x:row r="14">
      <x:c r="A14" s="57" t="str">
        <x:v>英雄与武器强度</x:v>
      </x:c>
      <x:c r="B14" s="57" t="n">
        <x:f>COUNTIFS('样本明细'!$A$2:$A$124,"B站",'样本明细'!$F$2:$F$124,$A14,'样本明细'!$G$2:$G$124,"retain")</x:f>
        <x:v>1</x:v>
      </x:c>
      <x:c r="C14" s="57" t="n">
        <x:f>COUNTIFS('样本明细'!$A$2:$A$124,"小黑盒",'样本明细'!$F$2:$F$124,$A14,'样本明细'!$G$2:$G$124,"retain")</x:f>
        <x:v>0</x:v>
      </x:c>
      <x:c r="D14" s="58" t="n">
        <x:f>IF($B14=0,0,COUNTIFS('样本明细'!$A$2:$A$124,"B站",'样本明细'!$F$2:$F$124,$A14,'样本明细'!$G$2:$G$124,"retain",'样本明细'!$L$2:$L$124,"positive")/$B14)</x:f>
        <x:v>1</x:v>
      </x:c>
      <x:c r="E14" s="58" t="n">
        <x:f>IF($B14=0,0,COUNTIFS('样本明细'!$A$2:$A$124,"B站",'样本明细'!$F$2:$F$124,$A14,'样本明细'!$G$2:$G$124,"retain",'样本明细'!$L$2:$L$124,"neutral")/$B14)</x:f>
        <x:v>0</x:v>
      </x:c>
      <x:c r="F14" s="58" t="n">
        <x:f>IF($B14=0,0,1-$D14-$E14)</x:f>
        <x:v>0</x:v>
      </x:c>
      <x:c r="G14" s="59" t="n">
        <x:v>0.996927</x:v>
      </x:c>
      <x:c r="H14" s="57" t="str">
        <x:v>Positive</x:v>
      </x:c>
      <x:c r="I14" s="57" t="str">
        <x:v>https://www.bilibili.com</x:v>
      </x:c>
      <x:c r="J14" s="57" t="str">
        <x:v>https://www.xiaoheihe.cn</x:v>
      </x:c>
    </x:row>
    <x:row r="17">
      <x:c r="A17" s="35" t="str">
        <x:v>质量字段</x:v>
      </x:c>
      <x:c r="B17" s="35" t="str">
        <x:v>值</x:v>
      </x:c>
      <x:c r="D17" s="35" t="str">
        <x:v>溯源字段</x:v>
      </x:c>
      <x:c r="E17" s="35" t="str">
        <x:v>值</x:v>
      </x:c>
    </x:row>
    <x:row r="18">
      <x:c r="A18" s="66" t="str">
        <x:v>B站原始行数</x:v>
      </x:c>
      <x:c r="B18" s="66" t="n">
        <x:f>COUNTIF('样本明细'!$A$2:$A$124,"B站")</x:f>
        <x:v>104</x:v>
      </x:c>
      <x:c r="C18" s="66"/>
      <x:c r="D18" s="66" t="str">
        <x:v>B站原始 SHA-256</x:v>
      </x:c>
      <x:c r="E18" s="66" t="str">
        <x:v>b40786365d50e7bf7dd5ecdae4b59a81f19f94c641b266ca0b99390666b05bf9</x:v>
      </x:c>
    </x:row>
    <x:row r="19">
      <x:c r="A19" s="67" t="str">
        <x:v>B站映射行数</x:v>
      </x:c>
      <x:c r="B19" s="67" t="n">
        <x:f>COUNTIFS('样本明细'!$A$2:$A$124,"B站",'样本明细'!$G$2:$G$124,"retain",'样本明细'!$E$2:$E$124,"&lt;&gt;")</x:f>
        <x:v>42</x:v>
      </x:c>
      <x:c r="C19" s="67"/>
      <x:c r="D19" s="67" t="str">
        <x:v>小黑盒原始 SHA-256</x:v>
      </x:c>
      <x:c r="E19" s="67" t="str">
        <x:v>baaf8379ebc18390b8c47f1e18aed5ee029a98f70e9e1783ebd2fc76bf38ce02</x:v>
      </x:c>
    </x:row>
    <x:row r="20">
      <x:c r="A20" s="67" t="str">
        <x:v>B站离群行数</x:v>
      </x:c>
      <x:c r="B20" s="67" t="n">
        <x:f>COUNTIFS('样本明细'!$A$2:$A$124,"B站",'样本明细'!$I$2:$I$124,1)</x:f>
        <x:v>37</x:v>
      </x:c>
      <x:c r="C20" s="67"/>
      <x:c r="D20" s="67" t="str">
        <x:v>冻结模型 SHA-256</x:v>
      </x:c>
      <x:c r="E20" s="67" t="str">
        <x:v>40f0c48d7dee49f2c3f804b3a5a896828c671503708a30f84be5812fc7e463a5</x:v>
      </x:c>
    </x:row>
    <x:row r="21">
      <x:c r="A21" s="67" t="str">
        <x:v>B站低置信度行数</x:v>
      </x:c>
      <x:c r="B21" s="67" t="n">
        <x:f>COUNTIFS('样本明细'!$A$2:$A$124,"B站",'样本明细'!$J$2:$J$124,1)</x:f>
        <x:v>55</x:v>
      </x:c>
      <x:c r="C21" s="67"/>
      <x:c r="D21" s="67" t="str">
        <x:v>置信度语义</x:v>
      </x:c>
      <x:c r="E21" s="67" t="str">
        <x:v>HDBSCAN membership probability；topic -1 强制为 0.0</x:v>
      </x:c>
    </x:row>
    <x:row r="22">
      <x:c r="A22" s="67" t="str">
        <x:v>B站可能误分行数</x:v>
      </x:c>
      <x:c r="B22" s="67" t="n">
        <x:f>COUNTIFS('样本明细'!$A$2:$A$124,"B站",'样本明细'!$K$2:$K$124,1)</x:f>
        <x:v>2</x:v>
      </x:c>
      <x:c r="C22" s="67"/>
      <x:c r="D22" s="67" t="str">
        <x:v>B站范围</x:v>
      </x:c>
      <x:c r="E22" s="67" t="str">
        <x:v>登录态可见顶层评论；仅保留 W30 明确时间戳</x:v>
      </x:c>
    </x:row>
    <x:row r="23">
      <x:c r="A23" s="67" t="str">
        <x:v>小黑盒原始行数</x:v>
      </x:c>
      <x:c r="B23" s="67" t="n">
        <x:f>COUNTIF('样本明细'!$A$2:$A$124,"小黑盒")</x:f>
        <x:v>19</x:v>
      </x:c>
      <x:c r="C23" s="67"/>
      <x:c r="D23" s="67" t="str">
        <x:v>小黑盒范围</x:v>
      </x:c>
      <x:c r="E23" s="67" t="str">
        <x:v>公开搜索可见帖子卡；未采集评论正文</x:v>
      </x:c>
    </x:row>
    <x:row r="24">
      <x:c r="A24" s="67" t="str">
        <x:v>小黑盒映射行数</x:v>
      </x:c>
      <x:c r="B24" s="67" t="n">
        <x:f>COUNTIFS('样本明细'!$A$2:$A$124,"小黑盒",'样本明细'!$G$2:$G$124,"retain",'样本明细'!$E$2:$E$124,"&lt;&gt;")</x:f>
        <x:v>12</x:v>
      </x:c>
      <x:c r="C24" s="67"/>
      <x:c r="D24" s="67" t="str">
        <x:v>正式报告资格</x:v>
      </x:c>
      <x:c r="E24" s="67" t="str">
        <x:v>不具备</x:v>
      </x:c>
    </x:row>
    <x:row r="25">
      <x:c r="A25" s="67" t="str">
        <x:v>小黑盒离群行数</x:v>
      </x:c>
      <x:c r="B25" s="67" t="n">
        <x:f>COUNTIFS('样本明细'!$A$2:$A$124,"小黑盒",'样本明细'!$I$2:$I$124,1)</x:f>
        <x:v>6</x:v>
      </x:c>
      <x:c r="C25" s="67"/>
      <x:c r="D25" s="67" t="str">
        <x:v>综合单位</x:v>
      </x:c>
      <x:c r="E25" s="67" t="str">
        <x:v>不可比；仅供探索</x:v>
      </x:c>
    </x:row>
    <x:row r="26">
      <x:c r="A26" s="68" t="str">
        <x:v>小黑盒低置信度行数</x:v>
      </x:c>
      <x:c r="B26" s="68" t="n">
        <x:f>COUNTIFS('样本明细'!$A$2:$A$124,"小黑盒",'样本明细'!$J$2:$J$124,1)</x:f>
        <x:v>6</x:v>
      </x:c>
      <x:c r="C26" s="68"/>
      <x:c r="D26" s="68" t="str">
        <x:v>生成时间</x:v>
      </x:c>
      <x:c r="E26" s="68" t="str">
        <x:v>UTC 2026-07-27T01:30:38.686642+00:00</x:v>
      </x:c>
    </x:row>
  </x:sheetData>
  <x:mergeCells>
    <x:mergeCell ref="A1:J1"/>
    <x:mergeCell ref="A2:J2"/>
  </x:mergeCells>
  <x:conditionalFormatting sqref="H5:H14">
    <x:cfRule type="containsText" dxfId="3" priority="1" operator="containsText" text="negative"/>
    <x:cfRule type="containsText" dxfId="4" priority="2" operator="containsText" text="positiv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25" hidden="0" customWidth="1"/>
    <x:col min="4" max="4" width="17" hidden="0" customWidth="1"/>
    <x:col min="5" max="5" width="17" hidden="0" customWidth="1"/>
    <x:col min="6" max="6" width="17" hidden="0" customWidth="1"/>
    <x:col min="7" max="7" width="17" hidden="0" customWidth="1"/>
    <x:col min="8" max="8" width="12" hidden="0" customWidth="1"/>
    <x:col min="9" max="9" width="12" hidden="0" customWidth="1"/>
    <x:col min="10" max="10" width="12" hidden="0" customWidth="1"/>
    <x:col min="11" max="11" width="12" hidden="0" customWidth="1"/>
    <x:col min="12" max="12" width="12" hidden="0" customWidth="1"/>
    <x:col min="13" max="13" width="58" hidden="0" customWidth="1"/>
    <x:col min="14" max="14" width="46" hidden="0" customWidth="1"/>
  </x:cols>
  <x:sheetData>
    <x:row r="1">
      <x:c r="A1" s="9" t="str">
        <x:v>平台</x:v>
      </x:c>
      <x:c r="B1" s="10" t="str">
        <x:v>发布时间</x:v>
      </x:c>
      <x:c r="C1" s="10" t="str">
        <x:v>文本ID</x:v>
      </x:c>
      <x:c r="D1" s="10" t="str">
        <x:v>来源类型</x:v>
      </x:c>
      <x:c r="E1" s="10" t="str">
        <x:v>主题ID</x:v>
      </x:c>
      <x:c r="F1" s="10" t="str">
        <x:v>主题名称</x:v>
      </x:c>
      <x:c r="G1" s="10" t="str">
        <x:v>操作</x:v>
      </x:c>
      <x:c r="H1" s="10" t="str">
        <x:v>置信度</x:v>
      </x:c>
      <x:c r="I1" s="10" t="str">
        <x:v>离群</x:v>
      </x:c>
      <x:c r="J1" s="10" t="str">
        <x:v>低置信度</x:v>
      </x:c>
      <x:c r="K1" s="10" t="str">
        <x:v>可能误分</x:v>
      </x:c>
      <x:c r="L1" s="10" t="str">
        <x:v>情感标签</x:v>
      </x:c>
      <x:c r="M1" s="10" t="str">
        <x:v>文本</x:v>
      </x:c>
      <x:c r="N1" s="11" t="str">
        <x:v>来源URL</x:v>
      </x:c>
    </x:row>
    <x:row r="2">
      <x:c r="A2" s="16" t="str">
        <x:v>小黑盒</x:v>
      </x:c>
      <x:c r="B2" s="19" t="str">
        <x:v>2026-07-20 12:00:00</x:v>
      </x:c>
      <x:c r="C2" s="16" t="str">
        <x:v>heybox_186237062</x:v>
      </x:c>
      <x:c r="D2" s="16" t="str">
        <x:v>post</x:v>
      </x:c>
      <x:c r="E2" s="16" t="str">
        <x:v>APEX-T001</x:v>
      </x:c>
      <x:c r="F2" s="16" t="str">
        <x:v>排位与匹配</x:v>
      </x:c>
      <x:c r="G2" s="16" t="str">
        <x:v>retain</x:v>
      </x:c>
      <x:c r="H2" s="22" t="n">
        <x:v>0.943325</x:v>
      </x:c>
      <x:c r="I2" s="16" t="n">
        <x:v>0</x:v>
      </x:c>
      <x:c r="J2" s="16" t="n">
        <x:v>0</x:v>
      </x:c>
      <x:c r="K2" s="16" t="n">
        <x:v>0</x:v>
      </x:c>
      <x:c r="L2" s="16" t="str">
        <x:v>negative</x:v>
      </x:c>
      <x:c r="M2" s="25" t="str">
        <x:v>炸服了吗：是不是炸服了，匹配进去然后给我踢出来了，然后再匹配就一直在等也不显示人数感觉是炸服了</x:v>
      </x:c>
      <x:c r="N2" s="16" t="str">
        <x:v>https://www.xiaoheihe.cn/app/bbs/link/186237062</x:v>
      </x:c>
    </x:row>
    <x:row r="3">
      <x:c r="A3" s="17" t="str">
        <x:v>小黑盒</x:v>
      </x:c>
      <x:c r="B3" s="20" t="str">
        <x:v>2026-07-22 12:00:00</x:v>
      </x:c>
      <x:c r="C3" s="17" t="str">
        <x:v>heybox_186355415</x:v>
      </x:c>
      <x:c r="D3" s="17" t="str">
        <x:v>post</x:v>
      </x:c>
      <x:c r="E3" s="17" t="str">
        <x:v>APEX-T001</x:v>
      </x:c>
      <x:c r="F3" s="17" t="str">
        <x:v>排位与匹配</x:v>
      </x:c>
      <x:c r="G3" s="17" t="str">
        <x:v>retain</x:v>
      </x:c>
      <x:c r="H3" s="23" t="n">
        <x:v>1</x:v>
      </x:c>
      <x:c r="I3" s="17" t="n">
        <x:v>0</x:v>
      </x:c>
      <x:c r="J3" s="17" t="n">
        <x:v>0</x:v>
      </x:c>
      <x:c r="K3" s="17" t="n">
        <x:v>0</x:v>
      </x:c>
      <x:c r="L3" s="17" t="str">
        <x:v>negative</x:v>
      </x:c>
      <x:c r="M3" s="26" t="str">
        <x:v>Apex单排不同段位打不同服务器体验感区别真的很大：之前听玩apex很久的朋友说新加坡服比港服更简单于是铂金之前这100h几乎都是打的新加坡服，可是新加坡服打到铂金之后的单排简直是寸步难行，我特意设置了steam是中文名字就是让队友如果看到中文可以开麦交流（如果是英文的话有些队友可能会以为是外国人直接不开麦</x:v>
      </x:c>
      <x:c r="N3" s="17" t="str">
        <x:v>https://www.xiaoheihe.cn/app/bbs/link/186355415</x:v>
      </x:c>
    </x:row>
    <x:row r="4">
      <x:c r="A4" s="17" t="str">
        <x:v>小黑盒</x:v>
      </x:c>
      <x:c r="B4" s="20" t="str">
        <x:v>2026-07-22 12:00:00</x:v>
      </x:c>
      <x:c r="C4" s="17" t="str">
        <x:v>heybox_186375655</x:v>
      </x:c>
      <x:c r="D4" s="17" t="str">
        <x:v>post</x:v>
      </x:c>
      <x:c r="E4" s="17" t="str">
        <x:v>APEX-T002</x:v>
      </x:c>
      <x:c r="F4" s="17" t="str">
        <x:v>赛季更新与玩法机制</x:v>
      </x:c>
      <x:c r="G4" s="17" t="str">
        <x:v>retain</x:v>
      </x:c>
      <x:c r="H4" s="23" t="n">
        <x:v>1</x:v>
      </x:c>
      <x:c r="I4" s="17" t="n">
        <x:v>0</x:v>
      </x:c>
      <x:c r="J4" s="17" t="n">
        <x:v>0</x:v>
      </x:c>
      <x:c r="K4" s="17" t="n">
        <x:v>0</x:v>
      </x:c>
      <x:c r="L4" s="17" t="str">
        <x:v>negative</x:v>
      </x:c>
      <x:c r="M4" s="26" t="str">
        <x:v>玩了四年多apex，第一次见到这种界面：是服务器数据更新了吗我退出到桌面也没更新啊土豆服务器发力了</x:v>
      </x:c>
      <x:c r="N4" s="17" t="str">
        <x:v>https://www.xiaoheihe.cn/app/bbs/link/186375655</x:v>
      </x:c>
    </x:row>
    <x:row r="5">
      <x:c r="A5" s="17" t="str">
        <x:v>小黑盒</x:v>
      </x:c>
      <x:c r="B5" s="20" t="str">
        <x:v>2026-07-23 12:00:00</x:v>
      </x:c>
      <x:c r="C5" s="17" t="str">
        <x:v>heybox_186432141</x:v>
      </x:c>
      <x:c r="D5" s="17" t="str">
        <x:v>post</x:v>
      </x:c>
      <x:c r="E5" s="17" t="str"/>
      <x:c r="F5" s="17" t="str"/>
      <x:c r="G5" s="17" t="str">
        <x:v>outlier</x:v>
      </x:c>
      <x:c r="H5" s="23" t="n">
        <x:v>0</x:v>
      </x:c>
      <x:c r="I5" s="17" t="n">
        <x:v>1</x:v>
      </x:c>
      <x:c r="J5" s="17" t="n">
        <x:v>1</x:v>
      </x:c>
      <x:c r="K5" s="17" t="n">
        <x:v>0</x:v>
      </x:c>
      <x:c r="L5" s="17" t="str">
        <x:v>negative</x:v>
      </x:c>
      <x:c r="M5" s="26" t="str">
        <x:v>多余的点数有啥用：奖励换完了但是还有很多点数，有啥用</x:v>
      </x:c>
      <x:c r="N5" s="17" t="str">
        <x:v>https://www.xiaoheihe.cn/app/bbs/link/186432141</x:v>
      </x:c>
    </x:row>
    <x:row r="6">
      <x:c r="A6" s="17" t="str">
        <x:v>小黑盒</x:v>
      </x:c>
      <x:c r="B6" s="20" t="str">
        <x:v>2026-07-23 12:00:00</x:v>
      </x:c>
      <x:c r="C6" s="17" t="str">
        <x:v>heybox_186435706</x:v>
      </x:c>
      <x:c r="D6" s="17" t="str">
        <x:v>post</x:v>
      </x:c>
      <x:c r="E6" s="17" t="str"/>
      <x:c r="F6" s="17" t="str"/>
      <x:c r="G6" s="17" t="str">
        <x:v>outlier</x:v>
      </x:c>
      <x:c r="H6" s="23" t="n">
        <x:v>0</x:v>
      </x:c>
      <x:c r="I6" s="17" t="n">
        <x:v>1</x:v>
      </x:c>
      <x:c r="J6" s="17" t="n">
        <x:v>1</x:v>
      </x:c>
      <x:c r="K6" s="17" t="n">
        <x:v>0</x:v>
      </x:c>
      <x:c r="L6" s="17" t="str">
        <x:v>positive</x:v>
      </x:c>
      <x:c r="M6" s="26" t="str">
        <x:v>Apex × 赛博朋克联动｜深夜便利店偶遇抓拍：恶灵（Apex 英雄）银灰利落短发，黑紫战术外套带面部光效纹身。手里攥着罐装咖啡，被叫到时猛地回头，眼神还带着点下意识的警觉。构图：全身或七分身，大长腿可见，朋友视角略低于视线，背景是便利店实景不虚化过度。禁止：影棚 / 商业精修 / 电影调色 / 塑料皮</x:v>
      </x:c>
      <x:c r="N6" s="17" t="str">
        <x:v>https://www.xiaoheihe.cn/app/bbs/link/186435706</x:v>
      </x:c>
    </x:row>
    <x:row r="7">
      <x:c r="A7" s="17" t="str">
        <x:v>小黑盒</x:v>
      </x:c>
      <x:c r="B7" s="20" t="str">
        <x:v>2026-07-23 12:00:00</x:v>
      </x:c>
      <x:c r="C7" s="17" t="str">
        <x:v>heybox_186476248</x:v>
      </x:c>
      <x:c r="D7" s="17" t="str">
        <x:v>post</x:v>
      </x:c>
      <x:c r="E7" s="17" t="str">
        <x:v>APEX-T011</x:v>
      </x:c>
      <x:c r="F7" s="17" t="str">
        <x:v>版本、排位与赛事混合</x:v>
      </x:c>
      <x:c r="G7" s="17" t="str">
        <x:v>retain</x:v>
      </x:c>
      <x:c r="H7" s="23" t="n">
        <x:v>1</x:v>
      </x:c>
      <x:c r="I7" s="17" t="n">
        <x:v>0</x:v>
      </x:c>
      <x:c r="J7" s="17" t="n">
        <x:v>0</x:v>
      </x:c>
      <x:c r="K7" s="17" t="n">
        <x:v>0</x:v>
      </x:c>
      <x:c r="L7" s="17" t="str">
        <x:v>negative</x:v>
      </x:c>
      <x:c r="M7" s="26" t="str">
        <x:v>为啥老给我匹配小柜子啊：赛季剩十几天了，lz想区个钻但是老是给我匹太君，一句话也听不懂，然后我打倒一个也不冲，在后面龟着，打1.5个也会输，好难啊</x:v>
      </x:c>
      <x:c r="N7" s="17" t="str">
        <x:v>https://www.xiaoheihe.cn/app/bbs/link/186476248</x:v>
      </x:c>
    </x:row>
    <x:row r="8">
      <x:c r="A8" s="17" t="str">
        <x:v>小黑盒</x:v>
      </x:c>
      <x:c r="B8" s="20" t="str">
        <x:v>2026-07-23 12:00:00</x:v>
      </x:c>
      <x:c r="C8" s="17" t="str">
        <x:v>heybox_186479589</x:v>
      </x:c>
      <x:c r="D8" s="17" t="str">
        <x:v>post</x:v>
      </x:c>
      <x:c r="E8" s="17" t="str">
        <x:v>APEX-T011</x:v>
      </x:c>
      <x:c r="F8" s="17" t="str">
        <x:v>版本、排位与赛事混合</x:v>
      </x:c>
      <x:c r="G8" s="17" t="str">
        <x:v>retain</x:v>
      </x:c>
      <x:c r="H8" s="23" t="n">
        <x:v>1</x:v>
      </x:c>
      <x:c r="I8" s="17" t="n">
        <x:v>0</x:v>
      </x:c>
      <x:c r="J8" s="17" t="n">
        <x:v>0</x:v>
      </x:c>
      <x:c r="K8" s="17" t="n">
        <x:v>0</x:v>
      </x:c>
      <x:c r="L8" s="17" t="str">
        <x:v>positive</x:v>
      </x:c>
      <x:c r="M8" s="26" t="str">
        <x:v>下赛季又是新游戏？艾克赛尔和希尔终于削弱！狗子终于有消息了！：⚡️赛季30⚡️【泄露 &amp; 传闻总结！】🗓️8月5日开幕战斗通行证 ・寻血猎犬/ 煤气大叔 ・R-301进化皮🔴强化 ・寻血猎犬（重做） ・兰帕特🟢弱化 ・希尔 眩晕和减速效果减弱 ・艾克赛尔 Q技能滑铲持续时间减短■G7变为普通武器■联动活动举办■武器</x:v>
      </x:c>
      <x:c r="N8" s="17" t="str">
        <x:v>https://www.xiaoheihe.cn/app/bbs/link/186479589</x:v>
      </x:c>
    </x:row>
    <x:row r="9">
      <x:c r="A9" s="17" t="str">
        <x:v>小黑盒</x:v>
      </x:c>
      <x:c r="B9" s="20" t="str">
        <x:v>2026-07-24 12:00:00</x:v>
      </x:c>
      <x:c r="C9" s="17" t="str">
        <x:v>heybox_186530407</x:v>
      </x:c>
      <x:c r="D9" s="17" t="str">
        <x:v>post</x:v>
      </x:c>
      <x:c r="E9" s="17" t="str"/>
      <x:c r="F9" s="17" t="str"/>
      <x:c r="G9" s="17" t="str">
        <x:v>outlier</x:v>
      </x:c>
      <x:c r="H9" s="23" t="n">
        <x:v>0</x:v>
      </x:c>
      <x:c r="I9" s="17" t="n">
        <x:v>1</x:v>
      </x:c>
      <x:c r="J9" s="17" t="n">
        <x:v>1</x:v>
      </x:c>
      <x:c r="K9" s="17" t="n">
        <x:v>0</x:v>
      </x:c>
      <x:c r="L9" s="17" t="str">
        <x:v>negative</x:v>
      </x:c>
      <x:c r="M9" s="26" t="str">
        <x:v>【APEX快讯】服务器崩溃？PLQ期间选手掉线卡加载！：PLQ第一轮第四小局结束后服务器崩溃！许多选手卡加载界面！ps：图为PLQ官方解说尬聊。</x:v>
      </x:c>
      <x:c r="N9" s="17" t="str">
        <x:v>https://www.xiaoheihe.cn/app/bbs/link/186530407</x:v>
      </x:c>
    </x:row>
    <x:row r="10">
      <x:c r="A10" s="17" t="str">
        <x:v>小黑盒</x:v>
      </x:c>
      <x:c r="B10" s="20" t="str">
        <x:v>2026-07-24 12:00:00</x:v>
      </x:c>
      <x:c r="C10" s="17" t="str">
        <x:v>heybox_186542156</x:v>
      </x:c>
      <x:c r="D10" s="17" t="str">
        <x:v>post</x:v>
      </x:c>
      <x:c r="E10" s="17" t="str">
        <x:v>APEX-T004</x:v>
      </x:c>
      <x:c r="F10" s="17" t="str">
        <x:v>英雄技能与武器平衡</x:v>
      </x:c>
      <x:c r="G10" s="17" t="str">
        <x:v>retain</x:v>
      </x:c>
      <x:c r="H10" s="23" t="n">
        <x:v>0.598222</x:v>
      </x:c>
      <x:c r="I10" s="17" t="n">
        <x:v>0</x:v>
      </x:c>
      <x:c r="J10" s="17" t="n">
        <x:v>0</x:v>
      </x:c>
      <x:c r="K10" s="17" t="n">
        <x:v>0</x:v>
      </x:c>
      <x:c r="L10" s="17" t="str">
        <x:v>negative</x:v>
      </x:c>
      <x:c r="M10" s="26" t="str">
        <x:v>服务器炸了？？？？？：啥情况，右上角全是传家宝，卡的玩不了。。。</x:v>
      </x:c>
      <x:c r="N10" s="17" t="str">
        <x:v>https://www.xiaoheihe.cn/app/bbs/link/186542156</x:v>
      </x:c>
    </x:row>
    <x:row r="11">
      <x:c r="A11" s="17" t="str">
        <x:v>小黑盒</x:v>
      </x:c>
      <x:c r="B11" s="20" t="str">
        <x:v>2026-07-24 12:00:00</x:v>
      </x:c>
      <x:c r="C11" s="17" t="str">
        <x:v>heybox_186542893</x:v>
      </x:c>
      <x:c r="D11" s="17" t="str">
        <x:v>post</x:v>
      </x:c>
      <x:c r="E11" s="17" t="str">
        <x:v>APEX-T001</x:v>
      </x:c>
      <x:c r="F11" s="17" t="str">
        <x:v>排位与匹配</x:v>
      </x:c>
      <x:c r="G11" s="17" t="str">
        <x:v>retain</x:v>
      </x:c>
      <x:c r="H11" s="23" t="n">
        <x:v>1</x:v>
      </x:c>
      <x:c r="I11" s="17" t="n">
        <x:v>0</x:v>
      </x:c>
      <x:c r="J11" s="17" t="n">
        <x:v>0</x:v>
      </x:c>
      <x:c r="K11" s="17" t="n">
        <x:v>0</x:v>
      </x:c>
      <x:c r="L11" s="17" t="str">
        <x:v>negative</x:v>
      </x:c>
      <x:c r="M11" s="26" t="str">
        <x:v>港服好卡，别的服务器卡吗，好兄弟们：Zsbd</x:v>
      </x:c>
      <x:c r="N11" s="17" t="str">
        <x:v>https://www.xiaoheihe.cn/app/bbs/link/186542893</x:v>
      </x:c>
    </x:row>
    <x:row r="12">
      <x:c r="A12" s="17" t="str">
        <x:v>小黑盒</x:v>
      </x:c>
      <x:c r="B12" s="20" t="str">
        <x:v>2026-07-24 12:00:00</x:v>
      </x:c>
      <x:c r="C12" s="17" t="str">
        <x:v>heybox_186550107</x:v>
      </x:c>
      <x:c r="D12" s="17" t="str">
        <x:v>post</x:v>
      </x:c>
      <x:c r="E12" s="17" t="str"/>
      <x:c r="F12" s="17" t="str"/>
      <x:c r="G12" s="17" t="str">
        <x:v>delete</x:v>
      </x:c>
      <x:c r="H12" s="23" t="n">
        <x:v>1</x:v>
      </x:c>
      <x:c r="I12" s="17" t="n">
        <x:v>0</x:v>
      </x:c>
      <x:c r="J12" s="17" t="n">
        <x:v>0</x:v>
      </x:c>
      <x:c r="K12" s="17" t="n">
        <x:v>0</x:v>
      </x:c>
      <x:c r="L12" s="17" t="str">
        <x:v>positive</x:v>
      </x:c>
      <x:c r="M12" s="26" t="str">
        <x:v>现在Apex还有让人变卡的挂吗：落地搜着搜着所有红buff全给我上了一遍，加速器没有波动，直连的网线也没有问题，然后就给我移除游戏了，然后就弃赛处罚了XD</x:v>
      </x:c>
      <x:c r="N12" s="17" t="str">
        <x:v>https://www.xiaoheihe.cn/app/bbs/link/186550107</x:v>
      </x:c>
    </x:row>
    <x:row r="13">
      <x:c r="A13" s="17" t="str">
        <x:v>小黑盒</x:v>
      </x:c>
      <x:c r="B13" s="20" t="str">
        <x:v>2026-07-25 12:00:00</x:v>
      </x:c>
      <x:c r="C13" s="17" t="str">
        <x:v>heybox_186554908</x:v>
      </x:c>
      <x:c r="D13" s="17" t="str">
        <x:v>post</x:v>
      </x:c>
      <x:c r="E13" s="17" t="str">
        <x:v>APEX-T006</x:v>
      </x:c>
      <x:c r="F13" s="17" t="str">
        <x:v>赛博朋克联动与手柄体验</x:v>
      </x:c>
      <x:c r="G13" s="17" t="str">
        <x:v>retain</x:v>
      </x:c>
      <x:c r="H13" s="23" t="n">
        <x:v>1</x:v>
      </x:c>
      <x:c r="I13" s="17" t="n">
        <x:v>0</x:v>
      </x:c>
      <x:c r="J13" s="17" t="n">
        <x:v>0</x:v>
      </x:c>
      <x:c r="K13" s="17" t="n">
        <x:v>0</x:v>
      </x:c>
      <x:c r="L13" s="17" t="str">
        <x:v>negative</x:v>
      </x:c>
      <x:c r="M13" s="26" t="str">
        <x:v>等会儿联动商店会更新吗：zsbd</x:v>
      </x:c>
      <x:c r="N13" s="17" t="str">
        <x:v>https://www.xiaoheihe.cn/app/bbs/link/186554908</x:v>
      </x:c>
    </x:row>
    <x:row r="14">
      <x:c r="A14" s="17" t="str">
        <x:v>小黑盒</x:v>
      </x:c>
      <x:c r="B14" s="20" t="str">
        <x:v>2026-07-25 12:00:00</x:v>
      </x:c>
      <x:c r="C14" s="17" t="str">
        <x:v>heybox_186585989</x:v>
      </x:c>
      <x:c r="D14" s="17" t="str">
        <x:v>post</x:v>
      </x:c>
      <x:c r="E14" s="17" t="str"/>
      <x:c r="F14" s="17" t="str"/>
      <x:c r="G14" s="17" t="str">
        <x:v>outlier</x:v>
      </x:c>
      <x:c r="H14" s="23" t="n">
        <x:v>0</x:v>
      </x:c>
      <x:c r="I14" s="17" t="n">
        <x:v>1</x:v>
      </x:c>
      <x:c r="J14" s="17" t="n">
        <x:v>1</x:v>
      </x:c>
      <x:c r="K14" s="17" t="n">
        <x:v>0</x:v>
      </x:c>
      <x:c r="L14" s="17" t="str">
        <x:v>negative</x:v>
      </x:c>
      <x:c r="M14" s="26" t="str">
        <x:v>这是啥，每次打开都有：最近老是弹出来这个</x:v>
      </x:c>
      <x:c r="N14" s="17" t="str">
        <x:v>https://www.xiaoheihe.cn/app/bbs/link/186585989</x:v>
      </x:c>
    </x:row>
    <x:row r="15">
      <x:c r="A15" s="17" t="str">
        <x:v>小黑盒</x:v>
      </x:c>
      <x:c r="B15" s="20" t="str">
        <x:v>2026-07-25 12:00:00</x:v>
      </x:c>
      <x:c r="C15" s="17" t="str">
        <x:v>heybox_186588031</x:v>
      </x:c>
      <x:c r="D15" s="17" t="str">
        <x:v>post</x:v>
      </x:c>
      <x:c r="E15" s="17" t="str"/>
      <x:c r="F15" s="17" t="str"/>
      <x:c r="G15" s="17" t="str">
        <x:v>outlier</x:v>
      </x:c>
      <x:c r="H15" s="23" t="n">
        <x:v>0</x:v>
      </x:c>
      <x:c r="I15" s="17" t="n">
        <x:v>1</x:v>
      </x:c>
      <x:c r="J15" s="17" t="n">
        <x:v>1</x:v>
      </x:c>
      <x:c r="K15" s="17" t="n">
        <x:v>0</x:v>
      </x:c>
      <x:c r="L15" s="17" t="str">
        <x:v>positive</x:v>
      </x:c>
      <x:c r="M15" s="26" t="str">
        <x:v>匹配2=1，来个99成新的新手，一般晚上打：我是1200小时把，还有一个萌新盆友，娱乐匹配，压力⭕️别来，可以聊聊天</x:v>
      </x:c>
      <x:c r="N15" s="17" t="str">
        <x:v>https://www.xiaoheihe.cn/app/bbs/link/186588031</x:v>
      </x:c>
    </x:row>
    <x:row r="16">
      <x:c r="A16" s="17" t="str">
        <x:v>小黑盒</x:v>
      </x:c>
      <x:c r="B16" s="20" t="str">
        <x:v>2026-07-26 12:00:00</x:v>
      </x:c>
      <x:c r="C16" s="17" t="str">
        <x:v>heybox_186630114</x:v>
      </x:c>
      <x:c r="D16" s="17" t="str">
        <x:v>post</x:v>
      </x:c>
      <x:c r="E16" s="17" t="str"/>
      <x:c r="F16" s="17" t="str"/>
      <x:c r="G16" s="17" t="str">
        <x:v>outlier</x:v>
      </x:c>
      <x:c r="H16" s="23" t="n">
        <x:v>0</x:v>
      </x:c>
      <x:c r="I16" s="17" t="n">
        <x:v>1</x:v>
      </x:c>
      <x:c r="J16" s="17" t="n">
        <x:v>1</x:v>
      </x:c>
      <x:c r="K16" s="17" t="n">
        <x:v>0</x:v>
      </x:c>
      <x:c r="L16" s="17" t="str">
        <x:v>negative</x:v>
      </x:c>
      <x:c r="M16" s="26" t="str">
        <x:v>Apex × 赛博朋克奖励商店更新，联动活动最后一个免费箱可以兑换：Apex最新联动活动奖励商店更新，还有最后一个免费的活动箱子可以兑换已经全部购买的玩家，活动箱子会自动变为紫色品质箱子但是这次已经全部购买的玩家，再兑换完紫色箱子后重新加速比利时，似乎没有额外的一个紫色箱子可以兑换了</x:v>
      </x:c>
      <x:c r="N16" s="17" t="str">
        <x:v>https://www.xiaoheihe.cn/app/bbs/link/186630114</x:v>
      </x:c>
    </x:row>
    <x:row r="17">
      <x:c r="A17" s="17" t="str">
        <x:v>小黑盒</x:v>
      </x:c>
      <x:c r="B17" s="20" t="str">
        <x:v>2026-07-26 12:00:00</x:v>
      </x:c>
      <x:c r="C17" s="17" t="str">
        <x:v>heybox_186675439</x:v>
      </x:c>
      <x:c r="D17" s="17" t="str">
        <x:v>post</x:v>
      </x:c>
      <x:c r="E17" s="17" t="str">
        <x:v>APEX-T001</x:v>
      </x:c>
      <x:c r="F17" s="17" t="str">
        <x:v>排位与匹配</x:v>
      </x:c>
      <x:c r="G17" s="17" t="str">
        <x:v>retain</x:v>
      </x:c>
      <x:c r="H17" s="23" t="n">
        <x:v>1</x:v>
      </x:c>
      <x:c r="I17" s="17" t="n">
        <x:v>0</x:v>
      </x:c>
      <x:c r="J17" s="17" t="n">
        <x:v>0</x:v>
      </x:c>
      <x:c r="K17" s="17" t="n">
        <x:v>0</x:v>
      </x:c>
      <x:c r="L17" s="17" t="str">
        <x:v>neutral</x:v>
      </x:c>
      <x:c r="M17" s="26" t="str">
        <x:v>我的青春结束了：23年十月入坑的，一直看df直到现在从来没想到会是这个结果，怎么会沦落至此呢每一小局都看的三明治视角，感觉他的指挥思路和枪法也都没什么问题，点圈也很准，可是队友老是跟不上或者不听指挥出去送说到底还是队友不行，本来想着打进pro了可以把qq招进来补强的，结果</x:v>
      </x:c>
      <x:c r="N17" s="17" t="str">
        <x:v>https://www.xiaoheihe.cn/app/bbs/link/186675439</x:v>
      </x:c>
    </x:row>
    <x:row r="18">
      <x:c r="A18" s="17" t="str">
        <x:v>小黑盒</x:v>
      </x:c>
      <x:c r="B18" s="20" t="str">
        <x:v>2026-07-26 12:00:00</x:v>
      </x:c>
      <x:c r="C18" s="17" t="str">
        <x:v>heybox_186677882</x:v>
      </x:c>
      <x:c r="D18" s="17" t="str">
        <x:v>post</x:v>
      </x:c>
      <x:c r="E18" s="17" t="str">
        <x:v>APEX-T003</x:v>
      </x:c>
      <x:c r="F18" s="17" t="str">
        <x:v>赛事与主播</x:v>
      </x:c>
      <x:c r="G18" s="17" t="str">
        <x:v>retain</x:v>
      </x:c>
      <x:c r="H18" s="23" t="n">
        <x:v>1</x:v>
      </x:c>
      <x:c r="I18" s="17" t="n">
        <x:v>0</x:v>
      </x:c>
      <x:c r="J18" s="17" t="n">
        <x:v>0</x:v>
      </x:c>
      <x:c r="K18" s="17" t="n">
        <x:v>0</x:v>
      </x:c>
      <x:c r="L18" s="17" t="str">
        <x:v>positive</x:v>
      </x:c>
      <x:c r="M18" s="26" t="str">
        <x:v>【APEX电竞】PLQ鏖战十局！橘子拿下PLQ冠军！WBG惨失常规赛资格！：2026.7.26下午17：30，PLQ鏖战十局最终Orange最后一局吃鸡拿下PLQ冠军！【第一张图为晋级常规赛队伍，第二张图为未晋级队伍】黑洞以第5的成绩获得常规赛门票！同时土拨鼠、QWQ等队伍也成功晋级第二赛段常规赛！而WBG以第11的成绩失去了第二</x:v>
      </x:c>
      <x:c r="N18" s="17" t="str">
        <x:v>https://www.xiaoheihe.cn/app/bbs/link/186677882</x:v>
      </x:c>
    </x:row>
    <x:row r="19">
      <x:c r="A19" s="17" t="str">
        <x:v>小黑盒</x:v>
      </x:c>
      <x:c r="B19" s="20" t="str">
        <x:v>2026-07-26 12:00:00</x:v>
      </x:c>
      <x:c r="C19" s="17" t="str">
        <x:v>heybox_186678368</x:v>
      </x:c>
      <x:c r="D19" s="17" t="str">
        <x:v>post</x:v>
      </x:c>
      <x:c r="E19" s="17" t="str">
        <x:v>APEX-T006</x:v>
      </x:c>
      <x:c r="F19" s="17" t="str">
        <x:v>赛博朋克联动与手柄体验</x:v>
      </x:c>
      <x:c r="G19" s="17" t="str">
        <x:v>retain</x:v>
      </x:c>
      <x:c r="H19" s="23" t="n">
        <x:v>1</x:v>
      </x:c>
      <x:c r="I19" s="17" t="n">
        <x:v>0</x:v>
      </x:c>
      <x:c r="J19" s="17" t="n">
        <x:v>0</x:v>
      </x:c>
      <x:c r="K19" s="17" t="n">
        <x:v>0</x:v>
      </x:c>
      <x:c r="L19" s="17" t="str">
        <x:v>negative</x:v>
      </x:c>
      <x:c r="M19" s="26" t="str">
        <x:v>艹，那些说插上手柄自动上猎的人呢：看完3mz操作能忍住不笑的是这个👍👍👍</x:v>
      </x:c>
      <x:c r="N19" s="17" t="str">
        <x:v>https://www.xiaoheihe.cn/app/bbs/link/186678368</x:v>
      </x:c>
    </x:row>
    <x:row r="20">
      <x:c r="A20" s="17" t="str">
        <x:v>小黑盒</x:v>
      </x:c>
      <x:c r="B20" s="20" t="str">
        <x:v>2026-07-26 12:00:00</x:v>
      </x:c>
      <x:c r="C20" s="17" t="str">
        <x:v>heybox_186683237</x:v>
      </x:c>
      <x:c r="D20" s="17" t="str">
        <x:v>post</x:v>
      </x:c>
      <x:c r="E20" s="17" t="str">
        <x:v>APEX-T010</x:v>
      </x:c>
      <x:c r="F20" s="17" t="str">
        <x:v>赛事与主播竞技讨论</x:v>
      </x:c>
      <x:c r="G20" s="17" t="str">
        <x:v>retain</x:v>
      </x:c>
      <x:c r="H20" s="23" t="n">
        <x:v>1</x:v>
      </x:c>
      <x:c r="I20" s="17" t="n">
        <x:v>0</x:v>
      </x:c>
      <x:c r="J20" s="17" t="n">
        <x:v>0</x:v>
      </x:c>
      <x:c r="K20" s="17" t="n">
        <x:v>0</x:v>
      </x:c>
      <x:c r="L20" s="17" t="str">
        <x:v>positive</x:v>
      </x:c>
      <x:c r="M20" s="26" t="str">
        <x:v>这人什么星球来的？：开局发些神秘英文，发完倒地就退</x:v>
      </x:c>
      <x:c r="N20" s="17" t="str">
        <x:v>https://www.xiaoheihe.cn/app/bbs/link/186683237</x:v>
      </x:c>
    </x:row>
    <x:row r="21">
      <x:c r="A21" s="17" t="str">
        <x:v>B站</x:v>
      </x:c>
      <x:c r="B21" s="20" t="str">
        <x:v>2026-07-20 01:04</x:v>
      </x:c>
      <x:c r="C21" s="17" t="str">
        <x:v>bili_browser_dc3696c351ba34bed018</x:v>
      </x:c>
      <x:c r="D21" s="17" t="str">
        <x:v>comment</x:v>
      </x:c>
      <x:c r="E21" s="17" t="str">
        <x:v>APEX-T013</x:v>
      </x:c>
      <x:c r="F21" s="17" t="str">
        <x:v>武器与英雄强度</x:v>
      </x:c>
      <x:c r="G21" s="17" t="str">
        <x:v>retain</x:v>
      </x:c>
      <x:c r="H21" s="23" t="n">
        <x:v>1</x:v>
      </x:c>
      <x:c r="I21" s="17" t="n">
        <x:v>0</x:v>
      </x:c>
      <x:c r="J21" s="17" t="n">
        <x:v>0</x:v>
      </x:c>
      <x:c r="K21" s="17" t="n">
        <x:v>0</x:v>
      </x:c>
      <x:c r="L21" s="17" t="str">
        <x:v>neutral</x:v>
      </x:c>
      <x:c r="M21" s="26" t="str">
        <x:v>做得好好！！</x:v>
      </x:c>
      <x:c r="N21" s="17" t="str">
        <x:v>https://www.bilibili.com/video/BV1jkK66tErP/</x:v>
      </x:c>
    </x:row>
    <x:row r="22">
      <x:c r="A22" s="17" t="str">
        <x:v>B站</x:v>
      </x:c>
      <x:c r="B22" s="20" t="str">
        <x:v>2026-07-20 03:07</x:v>
      </x:c>
      <x:c r="C22" s="17" t="str">
        <x:v>bili_browser_cf5eb5c285c95776a4ac</x:v>
      </x:c>
      <x:c r="D22" s="17" t="str">
        <x:v>comment</x:v>
      </x:c>
      <x:c r="E22" s="17" t="str">
        <x:v>APEX-T004</x:v>
      </x:c>
      <x:c r="F22" s="17" t="str">
        <x:v>英雄技能与武器平衡</x:v>
      </x:c>
      <x:c r="G22" s="17" t="str">
        <x:v>retain</x:v>
      </x:c>
      <x:c r="H22" s="23" t="n">
        <x:v>1</x:v>
      </x:c>
      <x:c r="I22" s="17" t="n">
        <x:v>0</x:v>
      </x:c>
      <x:c r="J22" s="17" t="n">
        <x:v>0</x:v>
      </x:c>
      <x:c r="K22" s="17" t="n">
        <x:v>0</x:v>
      </x:c>
      <x:c r="L22" s="17" t="str">
        <x:v>neutral</x:v>
      </x:c>
      <x:c r="M22" s="26" t="str">
        <x:v>我嘞个僵尸模式啊</x:v>
      </x:c>
      <x:c r="N22" s="17" t="str">
        <x:v>https://www.bilibili.com/video/BV1jkK66tErP/</x:v>
      </x:c>
    </x:row>
    <x:row r="23">
      <x:c r="A23" s="17" t="str">
        <x:v>B站</x:v>
      </x:c>
      <x:c r="B23" s="20" t="str">
        <x:v>2026-07-20 05:46</x:v>
      </x:c>
      <x:c r="C23" s="17" t="str">
        <x:v>bili_browser_0a89c82847bd566dac99</x:v>
      </x:c>
      <x:c r="D23" s="17" t="str">
        <x:v>comment</x:v>
      </x:c>
      <x:c r="E23" s="17" t="str"/>
      <x:c r="F23" s="17" t="str"/>
      <x:c r="G23" s="17" t="str">
        <x:v>delete</x:v>
      </x:c>
      <x:c r="H23" s="23" t="n">
        <x:v>0.424818</x:v>
      </x:c>
      <x:c r="I23" s="17" t="n">
        <x:v>0</x:v>
      </x:c>
      <x:c r="J23" s="17" t="n">
        <x:v>1</x:v>
      </x:c>
      <x:c r="K23" s="17" t="n">
        <x:v>0</x:v>
      </x:c>
      <x:c r="L23" s="17" t="str">
        <x:v>neutral</x:v>
      </x:c>
      <x:c r="M23" s="26" t="str">
        <x:v>这是被狙了吧</x:v>
      </x:c>
      <x:c r="N23" s="17" t="str">
        <x:v>https://www.bilibili.com/video/BV1jkK66tErP/</x:v>
      </x:c>
    </x:row>
    <x:row r="24">
      <x:c r="A24" s="17" t="str">
        <x:v>B站</x:v>
      </x:c>
      <x:c r="B24" s="20" t="str">
        <x:v>2026-07-20 08:30</x:v>
      </x:c>
      <x:c r="C24" s="17" t="str">
        <x:v>bili_browser_cd0fc81f6667e649c709</x:v>
      </x:c>
      <x:c r="D24" s="17" t="str">
        <x:v>comment</x:v>
      </x:c>
      <x:c r="E24" s="17" t="str"/>
      <x:c r="F24" s="17" t="str"/>
      <x:c r="G24" s="17" t="str">
        <x:v>outlier</x:v>
      </x:c>
      <x:c r="H24" s="23" t="n">
        <x:v>0</x:v>
      </x:c>
      <x:c r="I24" s="17" t="n">
        <x:v>1</x:v>
      </x:c>
      <x:c r="J24" s="17" t="n">
        <x:v>1</x:v>
      </x:c>
      <x:c r="K24" s="17" t="n">
        <x:v>0</x:v>
      </x:c>
      <x:c r="L24" s="17" t="str">
        <x:v>positive</x:v>
      </x:c>
      <x:c r="M24" s="26" t="str">
        <x:v>这次外卡做的是真好玩吧</x:v>
      </x:c>
      <x:c r="N24" s="17" t="str">
        <x:v>https://www.bilibili.com/video/BV1jkK66tErP/</x:v>
      </x:c>
    </x:row>
    <x:row r="25">
      <x:c r="A25" s="17" t="str">
        <x:v>B站</x:v>
      </x:c>
      <x:c r="B25" s="20" t="str">
        <x:v>2026-07-20 08:50</x:v>
      </x:c>
      <x:c r="C25" s="17" t="str">
        <x:v>bili_browser_037292c7466832f92a08</x:v>
      </x:c>
      <x:c r="D25" s="17" t="str">
        <x:v>comment</x:v>
      </x:c>
      <x:c r="E25" s="17" t="str"/>
      <x:c r="F25" s="17" t="str"/>
      <x:c r="G25" s="17" t="str">
        <x:v>outlier</x:v>
      </x:c>
      <x:c r="H25" s="23" t="n">
        <x:v>0</x:v>
      </x:c>
      <x:c r="I25" s="17" t="n">
        <x:v>1</x:v>
      </x:c>
      <x:c r="J25" s="17" t="n">
        <x:v>1</x:v>
      </x:c>
      <x:c r="K25" s="17" t="n">
        <x:v>0</x:v>
      </x:c>
      <x:c r="L25" s="17" t="str">
        <x:v>positive</x:v>
      </x:c>
      <x:c r="M25" s="26" t="str">
        <x:v>真想回归以前的亡灵模式</x:v>
      </x:c>
      <x:c r="N25" s="17" t="str">
        <x:v>https://www.bilibili.com/video/BV1jkK66tErP/</x:v>
      </x:c>
    </x:row>
    <x:row r="26">
      <x:c r="A26" s="17" t="str">
        <x:v>B站</x:v>
      </x:c>
      <x:c r="B26" s="20" t="str">
        <x:v>2026-07-20 09:03</x:v>
      </x:c>
      <x:c r="C26" s="17" t="str">
        <x:v>bili_browser_0dd1ef3da977ce0fca9b</x:v>
      </x:c>
      <x:c r="D26" s="17" t="str">
        <x:v>comment</x:v>
      </x:c>
      <x:c r="E26" s="17" t="str"/>
      <x:c r="F26" s="17" t="str"/>
      <x:c r="G26" s="17" t="str">
        <x:v>outlier</x:v>
      </x:c>
      <x:c r="H26" s="23" t="n">
        <x:v>0</x:v>
      </x:c>
      <x:c r="I26" s="17" t="n">
        <x:v>1</x:v>
      </x:c>
      <x:c r="J26" s="17" t="n">
        <x:v>1</x:v>
      </x:c>
      <x:c r="K26" s="17" t="n">
        <x:v>0</x:v>
      </x:c>
      <x:c r="L26" s="17" t="str">
        <x:v>neutral</x:v>
      </x:c>
      <x:c r="M26" s="26" t="str">
        <x:v>怎么轮着来玩apex啊，前几天还是xdd现在danking也来找皮神了</x:v>
      </x:c>
      <x:c r="N26" s="17" t="str">
        <x:v>https://www.bilibili.com/video/BV1jkK66tErP/</x:v>
      </x:c>
    </x:row>
    <x:row r="27">
      <x:c r="A27" s="17" t="str">
        <x:v>B站</x:v>
      </x:c>
      <x:c r="B27" s="20" t="str">
        <x:v>2026-07-20 10:02</x:v>
      </x:c>
      <x:c r="C27" s="17" t="str">
        <x:v>bili_browser_2bbf671dc7310a5429f7</x:v>
      </x:c>
      <x:c r="D27" s="17" t="str">
        <x:v>comment</x:v>
      </x:c>
      <x:c r="E27" s="17" t="str"/>
      <x:c r="F27" s="17" t="str"/>
      <x:c r="G27" s="17" t="str">
        <x:v>outlier</x:v>
      </x:c>
      <x:c r="H27" s="23" t="n">
        <x:v>0</x:v>
      </x:c>
      <x:c r="I27" s="17" t="n">
        <x:v>1</x:v>
      </x:c>
      <x:c r="J27" s="17" t="n">
        <x:v>1</x:v>
      </x:c>
      <x:c r="K27" s="17" t="n">
        <x:v>0</x:v>
      </x:c>
      <x:c r="L27" s="17" t="str">
        <x:v>neutral</x:v>
      </x:c>
      <x:c r="M27" s="26" t="str">
        <x:v>🥚一般啥时候播的啊，wc，经常都看不到，就昨天看到在打pubg</x:v>
      </x:c>
      <x:c r="N27" s="17" t="str">
        <x:v>https://www.bilibili.com/video/BV1jkK66tErP/</x:v>
      </x:c>
    </x:row>
    <x:row r="28">
      <x:c r="A28" s="17" t="str">
        <x:v>B站</x:v>
      </x:c>
      <x:c r="B28" s="20" t="str">
        <x:v>2026-07-20 10:59</x:v>
      </x:c>
      <x:c r="C28" s="17" t="str">
        <x:v>bili_browser_f87405d536a39dc56776</x:v>
      </x:c>
      <x:c r="D28" s="17" t="str">
        <x:v>comment</x:v>
      </x:c>
      <x:c r="E28" s="17" t="str">
        <x:v>APEX-T006</x:v>
      </x:c>
      <x:c r="F28" s="17" t="str">
        <x:v>赛博朋克联动与手柄体验</x:v>
      </x:c>
      <x:c r="G28" s="17" t="str">
        <x:v>retain</x:v>
      </x:c>
      <x:c r="H28" s="23" t="n">
        <x:v>1</x:v>
      </x:c>
      <x:c r="I28" s="17" t="n">
        <x:v>0</x:v>
      </x:c>
      <x:c r="J28" s="17" t="n">
        <x:v>0</x:v>
      </x:c>
      <x:c r="K28" s="17" t="n">
        <x:v>0</x:v>
      </x:c>
      <x:c r="L28" s="17" t="str">
        <x:v>negative</x:v>
      </x:c>
      <x:c r="M28" s="26" t="str">
        <x:v>这不是僵尸模式。这是2077的联动</x:v>
      </x:c>
      <x:c r="N28" s="17" t="str">
        <x:v>https://www.bilibili.com/video/BV1jkK66tErP/</x:v>
      </x:c>
    </x:row>
    <x:row r="29">
      <x:c r="A29" s="17" t="str">
        <x:v>B站</x:v>
      </x:c>
      <x:c r="B29" s="20" t="str">
        <x:v>2026-07-20 11:31</x:v>
      </x:c>
      <x:c r="C29" s="17" t="str">
        <x:v>bili_browser_5135b803858b28526873</x:v>
      </x:c>
      <x:c r="D29" s="17" t="str">
        <x:v>comment</x:v>
      </x:c>
      <x:c r="E29" s="17" t="str">
        <x:v>APEX-T003</x:v>
      </x:c>
      <x:c r="F29" s="17" t="str">
        <x:v>赛事与主播</x:v>
      </x:c>
      <x:c r="G29" s="17" t="str">
        <x:v>retain</x:v>
      </x:c>
      <x:c r="H29" s="23" t="n">
        <x:v>1</x:v>
      </x:c>
      <x:c r="I29" s="17" t="n">
        <x:v>0</x:v>
      </x:c>
      <x:c r="J29" s="17" t="n">
        <x:v>0</x:v>
      </x:c>
      <x:c r="K29" s="17" t="n">
        <x:v>0</x:v>
      </x:c>
      <x:c r="L29" s="17" t="str">
        <x:v>negative</x:v>
      </x:c>
      <x:c r="M29" s="26" t="str">
        <x:v>plq我知道，评论区</x:v>
      </x:c>
      <x:c r="N29" s="17" t="str">
        <x:v>https://www.bilibili.com/video/BV1E4KC6KEV2/</x:v>
      </x:c>
    </x:row>
    <x:row r="30">
      <x:c r="A30" s="17" t="str">
        <x:v>B站</x:v>
      </x:c>
      <x:c r="B30" s="20" t="str">
        <x:v>2026-07-20 11:35</x:v>
      </x:c>
      <x:c r="C30" s="17" t="str">
        <x:v>bili_browser_8b7dbc5a2e85b002382c</x:v>
      </x:c>
      <x:c r="D30" s="17" t="str">
        <x:v>comment</x:v>
      </x:c>
      <x:c r="E30" s="17" t="str">
        <x:v>APEX-T003</x:v>
      </x:c>
      <x:c r="F30" s="17" t="str">
        <x:v>赛事与主播</x:v>
      </x:c>
      <x:c r="G30" s="17" t="str">
        <x:v>retain</x:v>
      </x:c>
      <x:c r="H30" s="23" t="n">
        <x:v>1</x:v>
      </x:c>
      <x:c r="I30" s="17" t="n">
        <x:v>0</x:v>
      </x:c>
      <x:c r="J30" s="17" t="n">
        <x:v>0</x:v>
      </x:c>
      <x:c r="K30" s="17" t="n">
        <x:v>0</x:v>
      </x:c>
      <x:c r="L30" s="17" t="str">
        <x:v>neutral</x:v>
      </x:c>
      <x:c r="M30" s="26" t="str">
        <x:v>其实打全称就知道了 PL=pro league OQ=open qualifier CC=challenger circus PLQ=pro league qualifier LCQ=last chance qualifier 善用站内翻译功能</x:v>
      </x:c>
      <x:c r="N30" s="17" t="str">
        <x:v>https://www.bilibili.com/video/BV1E4KC6KEV2/</x:v>
      </x:c>
    </x:row>
    <x:row r="31">
      <x:c r="A31" s="17" t="str">
        <x:v>B站</x:v>
      </x:c>
      <x:c r="B31" s="20" t="str">
        <x:v>2026-07-20 11:43</x:v>
      </x:c>
      <x:c r="C31" s="17" t="str">
        <x:v>bili_browser_205a323e7edf2e389a46</x:v>
      </x:c>
      <x:c r="D31" s="17" t="str">
        <x:v>comment</x:v>
      </x:c>
      <x:c r="E31" s="17" t="str"/>
      <x:c r="F31" s="17" t="str"/>
      <x:c r="G31" s="17" t="str">
        <x:v>outlier</x:v>
      </x:c>
      <x:c r="H31" s="23" t="n">
        <x:v>0</x:v>
      </x:c>
      <x:c r="I31" s="17" t="n">
        <x:v>1</x:v>
      </x:c>
      <x:c r="J31" s="17" t="n">
        <x:v>1</x:v>
      </x:c>
      <x:c r="K31" s="17" t="n">
        <x:v>0</x:v>
      </x:c>
      <x:c r="L31" s="17" t="str">
        <x:v>positive</x:v>
      </x:c>
      <x:c r="M31" s="26" t="str">
        <x:v>其实还有更简单的理解。把每次线下赛看作一个节点，然后cc和plq（理解为pro升降比赛）是为了打线上pro资格，然后线上pro打线下资格。然后那个冠军赛更简单，就是一年内进过线下的算积分，然后各赛区再举行一次线上给几个名额进线下（冠军赛）</x:v>
      </x:c>
      <x:c r="N31" s="17" t="str">
        <x:v>https://www.bilibili.com/video/BV1E4KC6KEV2/</x:v>
      </x:c>
    </x:row>
    <x:row r="32">
      <x:c r="A32" s="17" t="str">
        <x:v>B站</x:v>
      </x:c>
      <x:c r="B32" s="20" t="str">
        <x:v>2026-07-20 11:43</x:v>
      </x:c>
      <x:c r="C32" s="17" t="str">
        <x:v>bili_browser_a9c7f541061955e515da</x:v>
      </x:c>
      <x:c r="D32" s="17" t="str">
        <x:v>comment</x:v>
      </x:c>
      <x:c r="E32" s="17" t="str">
        <x:v>APEX-T009</x:v>
      </x:c>
      <x:c r="F32" s="17" t="str">
        <x:v>皮肤外观与操作体验混合</x:v>
      </x:c>
      <x:c r="G32" s="17" t="str">
        <x:v>retain</x:v>
      </x:c>
      <x:c r="H32" s="23" t="n">
        <x:v>1</x:v>
      </x:c>
      <x:c r="I32" s="17" t="n">
        <x:v>0</x:v>
      </x:c>
      <x:c r="J32" s="17" t="n">
        <x:v>0</x:v>
      </x:c>
      <x:c r="K32" s="17" t="n">
        <x:v>0</x:v>
      </x:c>
      <x:c r="L32" s="17" t="str">
        <x:v>positive</x:v>
      </x:c>
      <x:c r="M32" s="26" t="str">
        <x:v>第一把疑惑，第二把惊艳，第三把平淡，第四把一坨</x:v>
      </x:c>
      <x:c r="N32" s="17" t="str">
        <x:v>https://www.bilibili.com/video/BV1jkK66tErP/</x:v>
      </x:c>
    </x:row>
    <x:row r="33">
      <x:c r="A33" s="17" t="str">
        <x:v>B站</x:v>
      </x:c>
      <x:c r="B33" s="20" t="str">
        <x:v>2026-07-20 12:00</x:v>
      </x:c>
      <x:c r="C33" s="17" t="str">
        <x:v>bili_browser_7b5c416a318222c876c8</x:v>
      </x:c>
      <x:c r="D33" s="17" t="str">
        <x:v>comment</x:v>
      </x:c>
      <x:c r="E33" s="17" t="str">
        <x:v>APEX-T003</x:v>
      </x:c>
      <x:c r="F33" s="17" t="str">
        <x:v>赛事与主播</x:v>
      </x:c>
      <x:c r="G33" s="17" t="str">
        <x:v>retain</x:v>
      </x:c>
      <x:c r="H33" s="23" t="n">
        <x:v>1</x:v>
      </x:c>
      <x:c r="I33" s="17" t="n">
        <x:v>0</x:v>
      </x:c>
      <x:c r="J33" s="17" t="n">
        <x:v>0</x:v>
      </x:c>
      <x:c r="K33" s="17" t="n">
        <x:v>0</x:v>
      </x:c>
      <x:c r="L33" s="17" t="str">
        <x:v>positive</x:v>
      </x:c>
      <x:c r="M33" s="26" t="str">
        <x:v>谢谢老师！我听懂了ദ്ദി (⩌ᴗ⩌ )</x:v>
      </x:c>
      <x:c r="N33" s="17" t="str">
        <x:v>https://www.bilibili.com/video/BV1E4KC6KEV2/</x:v>
      </x:c>
    </x:row>
    <x:row r="34">
      <x:c r="A34" s="17" t="str">
        <x:v>B站</x:v>
      </x:c>
      <x:c r="B34" s="20" t="str">
        <x:v>2026-07-20 12:05</x:v>
      </x:c>
      <x:c r="C34" s="17" t="str">
        <x:v>bili_browser_ec18fbe9bc25e28d6542</x:v>
      </x:c>
      <x:c r="D34" s="17" t="str">
        <x:v>comment</x:v>
      </x:c>
      <x:c r="E34" s="17" t="str"/>
      <x:c r="F34" s="17" t="str"/>
      <x:c r="G34" s="17" t="str">
        <x:v>outlier</x:v>
      </x:c>
      <x:c r="H34" s="23" t="n">
        <x:v>0</x:v>
      </x:c>
      <x:c r="I34" s="17" t="n">
        <x:v>1</x:v>
      </x:c>
      <x:c r="J34" s="17" t="n">
        <x:v>1</x:v>
      </x:c>
      <x:c r="K34" s="17" t="n">
        <x:v>0</x:v>
      </x:c>
      <x:c r="L34" s="17" t="str">
        <x:v>negative</x:v>
      </x:c>
      <x:c r="M34" s="26" t="str">
        <x:v>区决和区决前的比赛都算在季后赛是吧？</x:v>
      </x:c>
      <x:c r="N34" s="17" t="str">
        <x:v>https://www.bilibili.com/video/BV1E4KC6KEV2/</x:v>
      </x:c>
    </x:row>
    <x:row r="35">
      <x:c r="A35" s="17" t="str">
        <x:v>B站</x:v>
      </x:c>
      <x:c r="B35" s="20" t="str">
        <x:v>2026-07-20 12:17</x:v>
      </x:c>
      <x:c r="C35" s="17" t="str">
        <x:v>bili_browser_30244f0ecaea126e9096</x:v>
      </x:c>
      <x:c r="D35" s="17" t="str">
        <x:v>comment</x:v>
      </x:c>
      <x:c r="E35" s="17" t="str"/>
      <x:c r="F35" s="17" t="str"/>
      <x:c r="G35" s="17" t="str">
        <x:v>outlier</x:v>
      </x:c>
      <x:c r="H35" s="23" t="n">
        <x:v>0</x:v>
      </x:c>
      <x:c r="I35" s="17" t="n">
        <x:v>1</x:v>
      </x:c>
      <x:c r="J35" s="17" t="n">
        <x:v>1</x:v>
      </x:c>
      <x:c r="K35" s="17" t="n">
        <x:v>0</x:v>
      </x:c>
      <x:c r="L35" s="17" t="str">
        <x:v>negative</x:v>
      </x:c>
      <x:c r="M35" s="26" t="str">
        <x:v>我怀疑滋哥只是想让我们听bgm才做的这期视频</x:v>
      </x:c>
      <x:c r="N35" s="17" t="str">
        <x:v>https://www.bilibili.com/video/BV1E4KC6KEV2/</x:v>
      </x:c>
    </x:row>
    <x:row r="36">
      <x:c r="A36" s="17" t="str">
        <x:v>B站</x:v>
      </x:c>
      <x:c r="B36" s="20" t="str">
        <x:v>2026-07-20 12:19</x:v>
      </x:c>
      <x:c r="C36" s="17" t="str">
        <x:v>bili_browser_82552d2daad2b8ad802a</x:v>
      </x:c>
      <x:c r="D36" s="17" t="str">
        <x:v>comment</x:v>
      </x:c>
      <x:c r="E36" s="17" t="str"/>
      <x:c r="F36" s="17" t="str"/>
      <x:c r="G36" s="17" t="str">
        <x:v>outlier</x:v>
      </x:c>
      <x:c r="H36" s="23" t="n">
        <x:v>0</x:v>
      </x:c>
      <x:c r="I36" s="17" t="n">
        <x:v>1</x:v>
      </x:c>
      <x:c r="J36" s="17" t="n">
        <x:v>1</x:v>
      </x:c>
      <x:c r="K36" s="17" t="n">
        <x:v>0</x:v>
      </x:c>
      <x:c r="L36" s="17" t="str">
        <x:v>negative</x:v>
      </x:c>
      <x:c r="M36" s="26" t="str">
        <x:v>玩这个模式真的很建议把快速近战换成鼠标侧键或是别的方便按的键</x:v>
      </x:c>
      <x:c r="N36" s="17" t="str">
        <x:v>https://www.bilibili.com/video/BV1jkK66tErP/</x:v>
      </x:c>
    </x:row>
    <x:row r="37">
      <x:c r="A37" s="17" t="str">
        <x:v>B站</x:v>
      </x:c>
      <x:c r="B37" s="20" t="str">
        <x:v>2026-07-20 12:22</x:v>
      </x:c>
      <x:c r="C37" s="17" t="str">
        <x:v>bili_browser_6d33a66399ac6d307882</x:v>
      </x:c>
      <x:c r="D37" s="17" t="str">
        <x:v>comment</x:v>
      </x:c>
      <x:c r="E37" s="17" t="str"/>
      <x:c r="F37" s="17" t="str"/>
      <x:c r="G37" s="17" t="str">
        <x:v>delete</x:v>
      </x:c>
      <x:c r="H37" s="23" t="n">
        <x:v>0.424818</x:v>
      </x:c>
      <x:c r="I37" s="17" t="n">
        <x:v>0</x:v>
      </x:c>
      <x:c r="J37" s="17" t="n">
        <x:v>1</x:v>
      </x:c>
      <x:c r="K37" s="17" t="n">
        <x:v>0</x:v>
      </x:c>
      <x:c r="L37" s="17" t="str">
        <x:v>neutral</x:v>
      </x:c>
      <x:c r="M37" s="26" t="str">
        <x:v>@4acy</x:v>
      </x:c>
      <x:c r="N37" s="17" t="str">
        <x:v>https://www.bilibili.com/video/BV1jkK66tErP/</x:v>
      </x:c>
    </x:row>
    <x:row r="38">
      <x:c r="A38" s="17" t="str">
        <x:v>B站</x:v>
      </x:c>
      <x:c r="B38" s="20" t="str">
        <x:v>2026-07-20 12:39</x:v>
      </x:c>
      <x:c r="C38" s="17" t="str">
        <x:v>bili_browser_cdd0e42ed8f1ce79588c</x:v>
      </x:c>
      <x:c r="D38" s="17" t="str">
        <x:v>comment</x:v>
      </x:c>
      <x:c r="E38" s="17" t="str">
        <x:v>APEX-T010</x:v>
      </x:c>
      <x:c r="F38" s="17" t="str">
        <x:v>赛事与主播竞技讨论</x:v>
      </x:c>
      <x:c r="G38" s="17" t="str">
        <x:v>retain</x:v>
      </x:c>
      <x:c r="H38" s="23" t="n">
        <x:v>1</x:v>
      </x:c>
      <x:c r="I38" s="17" t="n">
        <x:v>0</x:v>
      </x:c>
      <x:c r="J38" s="17" t="n">
        <x:v>0</x:v>
      </x:c>
      <x:c r="K38" s="17" t="n">
        <x:v>0</x:v>
      </x:c>
      <x:c r="L38" s="17" t="str">
        <x:v>positive</x:v>
      </x:c>
      <x:c r="M38" s="26" t="str">
        <x:v>最近看PLQ训练赛发现真的是有挺多新观众不知道PLQ是什么，所以做了这期视频 7.24-7.26号ALGS PLQ开打，我在直播间会全程陪看+解说 大家比较好奇的ENC会在8.1-8.2开始打选拔赛，赛前如果有时间可能也许大概会做赛制介绍视频？ENC官网的赛制看完其实挺简单的，就是按选手国籍的冠军赛积分排名前20的国家各一个名额，外加9EMEA+3APACS+6AM 剩两个名额不是亚太北，而是【团结联盟？】和【主办地（沙特）？】的名额，这俩名额到底具体啥意思光看规则书我也没整明白，反正亚太北这个赛区是没名额的（刚夺冠不给名额hyw），只有日本+韩国各有一个队伍名额 （我觉得后面毕生温柔老师应该会做比较详细的，看情况做不做</x:v>
      </x:c>
      <x:c r="N38" s="17" t="str">
        <x:v>https://www.bilibili.com/video/BV1E4KC6KEV2/</x:v>
      </x:c>
    </x:row>
    <x:row r="39">
      <x:c r="A39" s="17" t="str">
        <x:v>B站</x:v>
      </x:c>
      <x:c r="B39" s="20" t="str">
        <x:v>2026-07-20 13:02</x:v>
      </x:c>
      <x:c r="C39" s="17" t="str">
        <x:v>bili_browser_082896b74634039d5329</x:v>
      </x:c>
      <x:c r="D39" s="17" t="str">
        <x:v>comment</x:v>
      </x:c>
      <x:c r="E39" s="17" t="str"/>
      <x:c r="F39" s="17" t="str"/>
      <x:c r="G39" s="17" t="str">
        <x:v>delete</x:v>
      </x:c>
      <x:c r="H39" s="23" t="n">
        <x:v>1</x:v>
      </x:c>
      <x:c r="I39" s="17" t="n">
        <x:v>0</x:v>
      </x:c>
      <x:c r="J39" s="17" t="n">
        <x:v>0</x:v>
      </x:c>
      <x:c r="K39" s="17" t="n">
        <x:v>0</x:v>
      </x:c>
      <x:c r="L39" s="17" t="str">
        <x:v>negative</x:v>
      </x:c>
      <x:c r="M39" s="26" t="str">
        <x:v>评论区</x:v>
      </x:c>
      <x:c r="N39" s="17" t="str">
        <x:v>https://www.bilibili.com/video/BV1E4KC6KEV2/</x:v>
      </x:c>
    </x:row>
    <x:row r="40">
      <x:c r="A40" s="17" t="str">
        <x:v>B站</x:v>
      </x:c>
      <x:c r="B40" s="20" t="str">
        <x:v>2026-07-20 13:05</x:v>
      </x:c>
      <x:c r="C40" s="17" t="str">
        <x:v>bili_browser_a9b8fb599bb3ac69dc73</x:v>
      </x:c>
      <x:c r="D40" s="17" t="str">
        <x:v>comment</x:v>
      </x:c>
      <x:c r="E40" s="17" t="str">
        <x:v>APEX-T003</x:v>
      </x:c>
      <x:c r="F40" s="17" t="str">
        <x:v>赛事与主播</x:v>
      </x:c>
      <x:c r="G40" s="17" t="str">
        <x:v>retain</x:v>
      </x:c>
      <x:c r="H40" s="23" t="n">
        <x:v>1</x:v>
      </x:c>
      <x:c r="I40" s="17" t="n">
        <x:v>0</x:v>
      </x:c>
      <x:c r="J40" s="17" t="n">
        <x:v>0</x:v>
      </x:c>
      <x:c r="K40" s="17" t="n">
        <x:v>0</x:v>
      </x:c>
      <x:c r="L40" s="17" t="str">
        <x:v>positive</x:v>
      </x:c>
      <x:c r="M40" s="26" t="str">
        <x:v>plq最受关注的一次</x:v>
      </x:c>
      <x:c r="N40" s="17" t="str">
        <x:v>https://www.bilibili.com/video/BV1E4KC6KEV2/</x:v>
      </x:c>
    </x:row>
    <x:row r="41">
      <x:c r="A41" s="17" t="str">
        <x:v>B站</x:v>
      </x:c>
      <x:c r="B41" s="20" t="str">
        <x:v>2026-07-20 13:50</x:v>
      </x:c>
      <x:c r="C41" s="17" t="str">
        <x:v>bili_browser_64d88e534a2cf120e26d</x:v>
      </x:c>
      <x:c r="D41" s="17" t="str">
        <x:v>comment</x:v>
      </x:c>
      <x:c r="E41" s="17" t="str"/>
      <x:c r="F41" s="17" t="str"/>
      <x:c r="G41" s="17" t="str">
        <x:v>delete</x:v>
      </x:c>
      <x:c r="H41" s="23" t="n">
        <x:v>0.424818</x:v>
      </x:c>
      <x:c r="I41" s="17" t="n">
        <x:v>0</x:v>
      </x:c>
      <x:c r="J41" s="17" t="n">
        <x:v>1</x:v>
      </x:c>
      <x:c r="K41" s="17" t="n">
        <x:v>0</x:v>
      </x:c>
      <x:c r="L41" s="17" t="str">
        <x:v>positive</x:v>
      </x:c>
      <x:c r="M41" s="26" t="str">
        <x:v>来了来了， 卡莎，文轩，JR，xiaolin组ENC队了</x:v>
      </x:c>
      <x:c r="N41" s="17" t="str">
        <x:v>https://www.bilibili.com/video/BV1E4KC6KEV2/</x:v>
      </x:c>
    </x:row>
    <x:row r="42">
      <x:c r="A42" s="17" t="str">
        <x:v>B站</x:v>
      </x:c>
      <x:c r="B42" s="20" t="str">
        <x:v>2026-07-20 14:57</x:v>
      </x:c>
      <x:c r="C42" s="17" t="str">
        <x:v>bili_browser_9ee44dffe727356c406d</x:v>
      </x:c>
      <x:c r="D42" s="17" t="str">
        <x:v>comment</x:v>
      </x:c>
      <x:c r="E42" s="17" t="str"/>
      <x:c r="F42" s="17" t="str"/>
      <x:c r="G42" s="17" t="str">
        <x:v>outlier</x:v>
      </x:c>
      <x:c r="H42" s="23" t="n">
        <x:v>0</x:v>
      </x:c>
      <x:c r="I42" s="17" t="n">
        <x:v>1</x:v>
      </x:c>
      <x:c r="J42" s="17" t="n">
        <x:v>1</x:v>
      </x:c>
      <x:c r="K42" s="17" t="n">
        <x:v>0</x:v>
      </x:c>
      <x:c r="L42" s="17" t="str">
        <x:v>positive</x:v>
      </x:c>
      <x:c r="M42" s="26" t="str">
        <x:v>APEX靶场有点风水不好</x:v>
      </x:c>
      <x:c r="N42" s="17" t="str">
        <x:v>https://www.bilibili.com/video/BV1BVKU6JETp/</x:v>
      </x:c>
    </x:row>
    <x:row r="43">
      <x:c r="A43" s="17" t="str">
        <x:v>B站</x:v>
      </x:c>
      <x:c r="B43" s="20" t="str">
        <x:v>2026-07-20 15:12</x:v>
      </x:c>
      <x:c r="C43" s="17" t="str">
        <x:v>bili_browser_e771246e202e624803af</x:v>
      </x:c>
      <x:c r="D43" s="17" t="str">
        <x:v>comment</x:v>
      </x:c>
      <x:c r="E43" s="17" t="str">
        <x:v>APEX-T003</x:v>
      </x:c>
      <x:c r="F43" s="17" t="str">
        <x:v>赛事与主播</x:v>
      </x:c>
      <x:c r="G43" s="17" t="str">
        <x:v>retain</x:v>
      </x:c>
      <x:c r="H43" s="23" t="n">
        <x:v>1</x:v>
      </x:c>
      <x:c r="I43" s="17" t="n">
        <x:v>0</x:v>
      </x:c>
      <x:c r="J43" s="17" t="n">
        <x:v>0</x:v>
      </x:c>
      <x:c r="K43" s="17" t="n">
        <x:v>0</x:v>
      </x:c>
      <x:c r="L43" s="17" t="str">
        <x:v>negative</x:v>
      </x:c>
      <x:c r="M43" s="26" t="str">
        <x:v>迷你：我知道有个队伍一等二 🥚：（憋笑）你别说话了</x:v>
      </x:c>
      <x:c r="N43" s="17" t="str">
        <x:v>https://www.bilibili.com/video/BV1BVKU6JETp/</x:v>
      </x:c>
    </x:row>
    <x:row r="44">
      <x:c r="A44" s="17" t="str">
        <x:v>B站</x:v>
      </x:c>
      <x:c r="B44" s="20" t="str">
        <x:v>2026-07-20 15:15</x:v>
      </x:c>
      <x:c r="C44" s="17" t="str">
        <x:v>bili_browser_85f5b9f47b5566262c0d</x:v>
      </x:c>
      <x:c r="D44" s="17" t="str">
        <x:v>comment</x:v>
      </x:c>
      <x:c r="E44" s="17" t="str"/>
      <x:c r="F44" s="17" t="str"/>
      <x:c r="G44" s="17" t="str">
        <x:v>outlier</x:v>
      </x:c>
      <x:c r="H44" s="23" t="n">
        <x:v>0</x:v>
      </x:c>
      <x:c r="I44" s="17" t="n">
        <x:v>1</x:v>
      </x:c>
      <x:c r="J44" s="17" t="n">
        <x:v>1</x:v>
      </x:c>
      <x:c r="K44" s="17" t="n">
        <x:v>0</x:v>
      </x:c>
      <x:c r="L44" s="17" t="str">
        <x:v>negative</x:v>
      </x:c>
      <x:c r="M44" s="26" t="str">
        <x:v>apex的靶场太适合聊天了，最好的靶场</x:v>
      </x:c>
      <x:c r="N44" s="17" t="str">
        <x:v>https://www.bilibili.com/video/BV1BVKU6JETp/</x:v>
      </x:c>
    </x:row>
    <x:row r="45">
      <x:c r="A45" s="17" t="str">
        <x:v>B站</x:v>
      </x:c>
      <x:c r="B45" s="20" t="str">
        <x:v>2026-07-20 15:18</x:v>
      </x:c>
      <x:c r="C45" s="17" t="str">
        <x:v>bili_browser_55191c4565e263422aed</x:v>
      </x:c>
      <x:c r="D45" s="17" t="str">
        <x:v>comment</x:v>
      </x:c>
      <x:c r="E45" s="17" t="str">
        <x:v>APEX-T003</x:v>
      </x:c>
      <x:c r="F45" s="17" t="str">
        <x:v>赛事与主播</x:v>
      </x:c>
      <x:c r="G45" s="17" t="str">
        <x:v>retain</x:v>
      </x:c>
      <x:c r="H45" s="23" t="n">
        <x:v>0.769466</x:v>
      </x:c>
      <x:c r="I45" s="17" t="n">
        <x:v>0</x:v>
      </x:c>
      <x:c r="J45" s="17" t="n">
        <x:v>0</x:v>
      </x:c>
      <x:c r="K45" s="17" t="n">
        <x:v>1</x:v>
      </x:c>
      <x:c r="L45" s="17" t="str">
        <x:v>negative</x:v>
      </x:c>
      <x:c r="M45" s="26" t="str">
        <x:v>诶呦我一直听神人BGM听上头了有一段没听进去</x:v>
      </x:c>
      <x:c r="N45" s="17" t="str">
        <x:v>https://www.bilibili.com/video/BV1E4KC6KEV2/</x:v>
      </x:c>
    </x:row>
    <x:row r="46">
      <x:c r="A46" s="17" t="str">
        <x:v>B站</x:v>
      </x:c>
      <x:c r="B46" s="20" t="str">
        <x:v>2026-07-20 15:22</x:v>
      </x:c>
      <x:c r="C46" s="17" t="str">
        <x:v>bili_browser_9081f5ab3114ba5705df</x:v>
      </x:c>
      <x:c r="D46" s="17" t="str">
        <x:v>comment</x:v>
      </x:c>
      <x:c r="E46" s="17" t="str"/>
      <x:c r="F46" s="17" t="str"/>
      <x:c r="G46" s="17" t="str">
        <x:v>outlier</x:v>
      </x:c>
      <x:c r="H46" s="23" t="n">
        <x:v>0</x:v>
      </x:c>
      <x:c r="I46" s="17" t="n">
        <x:v>1</x:v>
      </x:c>
      <x:c r="J46" s="17" t="n">
        <x:v>1</x:v>
      </x:c>
      <x:c r="K46" s="17" t="n">
        <x:v>0</x:v>
      </x:c>
      <x:c r="L46" s="17" t="str">
        <x:v>positive</x:v>
      </x:c>
      <x:c r="M46" s="26" t="str">
        <x:v>看了，还是没看太懂，前段时间打的线下赛是哪个阶段了？还有现在的训练赛也是在上面的内容里吗</x:v>
      </x:c>
      <x:c r="N46" s="17" t="str">
        <x:v>https://www.bilibili.com/video/BV1E4KC6KEV2/</x:v>
      </x:c>
    </x:row>
    <x:row r="47">
      <x:c r="A47" s="17" t="str">
        <x:v>B站</x:v>
      </x:c>
      <x:c r="B47" s="20" t="str">
        <x:v>2026-07-20 15:25</x:v>
      </x:c>
      <x:c r="C47" s="17" t="str">
        <x:v>bili_browser_2d71e1fa0f1ee010ee57</x:v>
      </x:c>
      <x:c r="D47" s="17" t="str">
        <x:v>comment</x:v>
      </x:c>
      <x:c r="E47" s="17" t="str"/>
      <x:c r="F47" s="17" t="str"/>
      <x:c r="G47" s="17" t="str">
        <x:v>outlier</x:v>
      </x:c>
      <x:c r="H47" s="23" t="n">
        <x:v>0</x:v>
      </x:c>
      <x:c r="I47" s="17" t="n">
        <x:v>1</x:v>
      </x:c>
      <x:c r="J47" s="17" t="n">
        <x:v>1</x:v>
      </x:c>
      <x:c r="K47" s="17" t="n">
        <x:v>0</x:v>
      </x:c>
      <x:c r="L47" s="17" t="str">
        <x:v>negative</x:v>
      </x:c>
      <x:c r="M47" s="26" t="str">
        <x:v>找不到歌可以不放背景音乐，反正讲的干货总会有人听</x:v>
      </x:c>
      <x:c r="N47" s="17" t="str">
        <x:v>https://www.bilibili.com/video/BV1E4KC6KEV2/</x:v>
      </x:c>
    </x:row>
    <x:row r="48">
      <x:c r="A48" s="17" t="str">
        <x:v>B站</x:v>
      </x:c>
      <x:c r="B48" s="20" t="str">
        <x:v>2026-07-20 15:58</x:v>
      </x:c>
      <x:c r="C48" s="17" t="str">
        <x:v>bili_browser_3b2aa1978ba6ed0e98bd</x:v>
      </x:c>
      <x:c r="D48" s="17" t="str">
        <x:v>comment</x:v>
      </x:c>
      <x:c r="E48" s="17" t="str"/>
      <x:c r="F48" s="17" t="str"/>
      <x:c r="G48" s="17" t="str">
        <x:v>outlier</x:v>
      </x:c>
      <x:c r="H48" s="23" t="n">
        <x:v>0</x:v>
      </x:c>
      <x:c r="I48" s="17" t="n">
        <x:v>1</x:v>
      </x:c>
      <x:c r="J48" s="17" t="n">
        <x:v>1</x:v>
      </x:c>
      <x:c r="K48" s="17" t="n">
        <x:v>0</x:v>
      </x:c>
      <x:c r="L48" s="17" t="str">
        <x:v>neutral</x:v>
      </x:c>
      <x:c r="M48" s="26" t="str">
        <x:v>卧槽昨天打了apex？</x:v>
      </x:c>
      <x:c r="N48" s="17" t="str">
        <x:v>https://www.bilibili.com/video/BV1jkK66tErP/</x:v>
      </x:c>
    </x:row>
    <x:row r="49">
      <x:c r="A49" s="17" t="str">
        <x:v>B站</x:v>
      </x:c>
      <x:c r="B49" s="20" t="str">
        <x:v>2026-07-20 16:29</x:v>
      </x:c>
      <x:c r="C49" s="17" t="str">
        <x:v>bili_browser_daf395373a174ae79f2c</x:v>
      </x:c>
      <x:c r="D49" s="17" t="str">
        <x:v>comment</x:v>
      </x:c>
      <x:c r="E49" s="17" t="str">
        <x:v>APEX-T002</x:v>
      </x:c>
      <x:c r="F49" s="17" t="str">
        <x:v>赛季更新与玩法机制</x:v>
      </x:c>
      <x:c r="G49" s="17" t="str">
        <x:v>retain</x:v>
      </x:c>
      <x:c r="H49" s="23" t="n">
        <x:v>1</x:v>
      </x:c>
      <x:c r="I49" s="17" t="n">
        <x:v>0</x:v>
      </x:c>
      <x:c r="J49" s="17" t="n">
        <x:v>0</x:v>
      </x:c>
      <x:c r="K49" s="17" t="n">
        <x:v>0</x:v>
      </x:c>
      <x:c r="L49" s="17" t="str">
        <x:v>negative</x:v>
      </x:c>
      <x:c r="M49" s="26" t="str">
        <x:v>我想知道皮特为啥现在人数好少啊，应该算一哥吧，现在开播几个小时稳定4000多一点，锁流了吗，qq半夜还有8000多的人数呢，知识单纯疑问❓</x:v>
      </x:c>
      <x:c r="N49" s="17" t="str">
        <x:v>https://www.bilibili.com/video/BV1jkK66tErP/</x:v>
      </x:c>
    </x:row>
    <x:row r="50">
      <x:c r="A50" s="17" t="str">
        <x:v>B站</x:v>
      </x:c>
      <x:c r="B50" s="20" t="str">
        <x:v>2026-07-20 16:50</x:v>
      </x:c>
      <x:c r="C50" s="17" t="str">
        <x:v>bili_browser_7d3bd78dfb7735405a09</x:v>
      </x:c>
      <x:c r="D50" s="17" t="str">
        <x:v>comment</x:v>
      </x:c>
      <x:c r="E50" s="17" t="str">
        <x:v>APEX-T003</x:v>
      </x:c>
      <x:c r="F50" s="17" t="str">
        <x:v>赛事与主播</x:v>
      </x:c>
      <x:c r="G50" s="17" t="str">
        <x:v>retain</x:v>
      </x:c>
      <x:c r="H50" s="23" t="n">
        <x:v>1</x:v>
      </x:c>
      <x:c r="I50" s="17" t="n">
        <x:v>0</x:v>
      </x:c>
      <x:c r="J50" s="17" t="n">
        <x:v>0</x:v>
      </x:c>
      <x:c r="K50" s="17" t="n">
        <x:v>0</x:v>
      </x:c>
      <x:c r="L50" s="17" t="str">
        <x:v>negative</x:v>
      </x:c>
      <x:c r="M50" s="26" t="str">
        <x:v>我知道一个队伍一等二</x:v>
      </x:c>
      <x:c r="N50" s="17" t="str">
        <x:v>https://www.bilibili.com/video/BV1BVKU6JETp/</x:v>
      </x:c>
    </x:row>
    <x:row r="51">
      <x:c r="A51" s="17" t="str">
        <x:v>B站</x:v>
      </x:c>
      <x:c r="B51" s="20" t="str">
        <x:v>2026-07-20 16:54</x:v>
      </x:c>
      <x:c r="C51" s="17" t="str">
        <x:v>bili_browser_650625611d12e847c677</x:v>
      </x:c>
      <x:c r="D51" s="17" t="str">
        <x:v>comment</x:v>
      </x:c>
      <x:c r="E51" s="17" t="str">
        <x:v>APEX-T007</x:v>
      </x:c>
      <x:c r="F51" s="17" t="str">
        <x:v>UP主视频反馈与设置求助</x:v>
      </x:c>
      <x:c r="G51" s="17" t="str">
        <x:v>retain</x:v>
      </x:c>
      <x:c r="H51" s="23" t="n">
        <x:v>1</x:v>
      </x:c>
      <x:c r="I51" s="17" t="n">
        <x:v>0</x:v>
      </x:c>
      <x:c r="J51" s="17" t="n">
        <x:v>0</x:v>
      </x:c>
      <x:c r="K51" s="17" t="n">
        <x:v>0</x:v>
      </x:c>
      <x:c r="L51" s="17" t="str">
        <x:v>neutral</x:v>
      </x:c>
      <x:c r="M51" s="26" t="str">
        <x:v>🥚这靶场什么雷霆瞄准</x:v>
      </x:c>
      <x:c r="N51" s="17" t="str">
        <x:v>https://www.bilibili.com/video/BV1BVKU6JETp/</x:v>
      </x:c>
    </x:row>
    <x:row r="52">
      <x:c r="A52" s="17" t="str">
        <x:v>B站</x:v>
      </x:c>
      <x:c r="B52" s="20" t="str">
        <x:v>2026-07-20 17:00</x:v>
      </x:c>
      <x:c r="C52" s="17" t="str">
        <x:v>bili_browser_1385dde6c64f6f71e692</x:v>
      </x:c>
      <x:c r="D52" s="17" t="str">
        <x:v>comment</x:v>
      </x:c>
      <x:c r="E52" s="17" t="str"/>
      <x:c r="F52" s="17" t="str"/>
      <x:c r="G52" s="17" t="str">
        <x:v>delete</x:v>
      </x:c>
      <x:c r="H52" s="23" t="n">
        <x:v>0.424818</x:v>
      </x:c>
      <x:c r="I52" s="17" t="n">
        <x:v>0</x:v>
      </x:c>
      <x:c r="J52" s="17" t="n">
        <x:v>1</x:v>
      </x:c>
      <x:c r="K52" s="17" t="n">
        <x:v>0</x:v>
      </x:c>
      <x:c r="L52" s="17" t="str">
        <x:v>negative</x:v>
      </x:c>
      <x:c r="M52" s="26" t="str">
        <x:v>迷你是🀄</x:v>
      </x:c>
      <x:c r="N52" s="17" t="str">
        <x:v>https://www.bilibili.com/video/BV1BVKU6JETp/</x:v>
      </x:c>
    </x:row>
    <x:row r="53">
      <x:c r="A53" s="17" t="str">
        <x:v>B站</x:v>
      </x:c>
      <x:c r="B53" s="20" t="str">
        <x:v>2026-07-20 17:31</x:v>
      </x:c>
      <x:c r="C53" s="17" t="str">
        <x:v>bili_browser_2f7edec85dcb98fb6eac</x:v>
      </x:c>
      <x:c r="D53" s="17" t="str">
        <x:v>comment</x:v>
      </x:c>
      <x:c r="E53" s="17" t="str"/>
      <x:c r="F53" s="17" t="str"/>
      <x:c r="G53" s="17" t="str">
        <x:v>outlier</x:v>
      </x:c>
      <x:c r="H53" s="23" t="n">
        <x:v>0</x:v>
      </x:c>
      <x:c r="I53" s="17" t="n">
        <x:v>1</x:v>
      </x:c>
      <x:c r="J53" s="17" t="n">
        <x:v>1</x:v>
      </x:c>
      <x:c r="K53" s="17" t="n">
        <x:v>0</x:v>
      </x:c>
      <x:c r="L53" s="17" t="str">
        <x:v>negative</x:v>
      </x:c>
      <x:c r="M53" s="26" t="str">
        <x:v>蛋已经玩到apex的精髓了，这块靶场从不缺乐子</x:v>
      </x:c>
      <x:c r="N53" s="17" t="str">
        <x:v>https://www.bilibili.com/video/BV1BVKU6JETp/</x:v>
      </x:c>
    </x:row>
    <x:row r="54">
      <x:c r="A54" s="17" t="str">
        <x:v>B站</x:v>
      </x:c>
      <x:c r="B54" s="20" t="str">
        <x:v>2026-07-20 18:04</x:v>
      </x:c>
      <x:c r="C54" s="17" t="str">
        <x:v>bili_browser_75b86044df1bd8cd0f3e</x:v>
      </x:c>
      <x:c r="D54" s="17" t="str">
        <x:v>comment</x:v>
      </x:c>
      <x:c r="E54" s="17" t="str">
        <x:v>APEX-T001</x:v>
      </x:c>
      <x:c r="F54" s="17" t="str">
        <x:v>排位与匹配</x:v>
      </x:c>
      <x:c r="G54" s="17" t="str">
        <x:v>retain</x:v>
      </x:c>
      <x:c r="H54" s="23" t="n">
        <x:v>1</x:v>
      </x:c>
      <x:c r="I54" s="17" t="n">
        <x:v>0</x:v>
      </x:c>
      <x:c r="J54" s="17" t="n">
        <x:v>0</x:v>
      </x:c>
      <x:c r="K54" s="17" t="n">
        <x:v>0</x:v>
      </x:c>
      <x:c r="L54" s="17" t="str">
        <x:v>neutral</x:v>
      </x:c>
      <x:c r="M54" s="26" t="str">
        <x:v>01:28</x:v>
      </x:c>
      <x:c r="N54" s="17" t="str">
        <x:v>https://www.bilibili.com/video/BV1BVKU6JETp/</x:v>
      </x:c>
    </x:row>
    <x:row r="55">
      <x:c r="A55" s="17" t="str">
        <x:v>B站</x:v>
      </x:c>
      <x:c r="B55" s="20" t="str">
        <x:v>2026-07-20 18:07</x:v>
      </x:c>
      <x:c r="C55" s="17" t="str">
        <x:v>bili_browser_e191d9d3883079291865</x:v>
      </x:c>
      <x:c r="D55" s="17" t="str">
        <x:v>comment</x:v>
      </x:c>
      <x:c r="E55" s="17" t="str">
        <x:v>APEX-T004</x:v>
      </x:c>
      <x:c r="F55" s="17" t="str">
        <x:v>英雄技能与武器平衡</x:v>
      </x:c>
      <x:c r="G55" s="17" t="str">
        <x:v>retain</x:v>
      </x:c>
      <x:c r="H55" s="23" t="n">
        <x:v>0.407353</x:v>
      </x:c>
      <x:c r="I55" s="17" t="n">
        <x:v>0</x:v>
      </x:c>
      <x:c r="J55" s="17" t="n">
        <x:v>1</x:v>
      </x:c>
      <x:c r="K55" s="17" t="n">
        <x:v>0</x:v>
      </x:c>
      <x:c r="L55" s="17" t="str">
        <x:v>neutral</x:v>
      </x:c>
      <x:c r="M55" s="26" t="str">
        <x:v>这里也有靶场谈心，夸张喔</x:v>
      </x:c>
      <x:c r="N55" s="17" t="str">
        <x:v>https://www.bilibili.com/video/BV1BVKU6JETp/</x:v>
      </x:c>
    </x:row>
    <x:row r="56">
      <x:c r="A56" s="17" t="str">
        <x:v>B站</x:v>
      </x:c>
      <x:c r="B56" s="20" t="str">
        <x:v>2026-07-20 18:27</x:v>
      </x:c>
      <x:c r="C56" s="17" t="str">
        <x:v>bili_browser_c9a83d3d39daeed6bede</x:v>
      </x:c>
      <x:c r="D56" s="17" t="str">
        <x:v>comment</x:v>
      </x:c>
      <x:c r="E56" s="17" t="str"/>
      <x:c r="F56" s="17" t="str"/>
      <x:c r="G56" s="17" t="str">
        <x:v>outlier</x:v>
      </x:c>
      <x:c r="H56" s="23" t="n">
        <x:v>0</x:v>
      </x:c>
      <x:c r="I56" s="17" t="n">
        <x:v>1</x:v>
      </x:c>
      <x:c r="J56" s="17" t="n">
        <x:v>1</x:v>
      </x:c>
      <x:c r="K56" s="17" t="n">
        <x:v>0</x:v>
      </x:c>
      <x:c r="L56" s="17" t="str">
        <x:v>positive</x:v>
      </x:c>
      <x:c r="M56" s="26" t="str">
        <x:v>如果你觉得滋哥的简笔画太抽象了，可以看这个拿AI画布跑的</x:v>
      </x:c>
      <x:c r="N56" s="17" t="str">
        <x:v>https://www.bilibili.com/video/BV1E4KC6KEV2/</x:v>
      </x:c>
    </x:row>
    <x:row r="57">
      <x:c r="A57" s="17" t="str">
        <x:v>B站</x:v>
      </x:c>
      <x:c r="B57" s="20" t="str">
        <x:v>2026-07-20 18:41</x:v>
      </x:c>
      <x:c r="C57" s="17" t="str">
        <x:v>bili_browser_0a116ad35b9f91349054</x:v>
      </x:c>
      <x:c r="D57" s="17" t="str">
        <x:v>comment</x:v>
      </x:c>
      <x:c r="E57" s="17" t="str">
        <x:v>APEX-T001</x:v>
      </x:c>
      <x:c r="F57" s="17" t="str">
        <x:v>排位与匹配</x:v>
      </x:c>
      <x:c r="G57" s="17" t="str">
        <x:v>retain</x:v>
      </x:c>
      <x:c r="H57" s="23" t="n">
        <x:v>1</x:v>
      </x:c>
      <x:c r="I57" s="17" t="n">
        <x:v>0</x:v>
      </x:c>
      <x:c r="J57" s="17" t="n">
        <x:v>0</x:v>
      </x:c>
      <x:c r="K57" s="17" t="n">
        <x:v>0</x:v>
      </x:c>
      <x:c r="L57" s="17" t="str">
        <x:v>negative</x:v>
      </x:c>
      <x:c r="M57" s="26" t="str">
        <x:v>好快的切 兄弟</x:v>
      </x:c>
      <x:c r="N57" s="17" t="str">
        <x:v>https://www.bilibili.com/video/BV1AnKm6dEdy/</x:v>
      </x:c>
    </x:row>
    <x:row r="58">
      <x:c r="A58" s="17" t="str">
        <x:v>B站</x:v>
      </x:c>
      <x:c r="B58" s="20" t="str">
        <x:v>2026-07-20 18:45</x:v>
      </x:c>
      <x:c r="C58" s="17" t="str">
        <x:v>bili_browser_94f22be0e859e3a6dcc2</x:v>
      </x:c>
      <x:c r="D58" s="17" t="str">
        <x:v>comment</x:v>
      </x:c>
      <x:c r="E58" s="17" t="str">
        <x:v>APEX-T002</x:v>
      </x:c>
      <x:c r="F58" s="17" t="str">
        <x:v>赛季更新与玩法机制</x:v>
      </x:c>
      <x:c r="G58" s="17" t="str">
        <x:v>retain</x:v>
      </x:c>
      <x:c r="H58" s="23" t="n">
        <x:v>1</x:v>
      </x:c>
      <x:c r="I58" s="17" t="n">
        <x:v>0</x:v>
      </x:c>
      <x:c r="J58" s="17" t="n">
        <x:v>0</x:v>
      </x:c>
      <x:c r="K58" s="17" t="n">
        <x:v>0</x:v>
      </x:c>
      <x:c r="L58" s="17" t="str">
        <x:v>negative</x:v>
      </x:c>
      <x:c r="M58" s="26" t="str">
        <x:v>涛不是和bolin小霖一队吗</x:v>
      </x:c>
      <x:c r="N58" s="17" t="str">
        <x:v>https://www.bilibili.com/video/BV1AnKm6dEdy/</x:v>
      </x:c>
    </x:row>
    <x:row r="59">
      <x:c r="A59" s="17" t="str">
        <x:v>B站</x:v>
      </x:c>
      <x:c r="B59" s="20" t="str">
        <x:v>2026-07-20 18:59</x:v>
      </x:c>
      <x:c r="C59" s="17" t="str">
        <x:v>bili_browser_8371e2ebe29ca202c374</x:v>
      </x:c>
      <x:c r="D59" s="17" t="str">
        <x:v>comment</x:v>
      </x:c>
      <x:c r="E59" s="17" t="str"/>
      <x:c r="F59" s="17" t="str"/>
      <x:c r="G59" s="17" t="str">
        <x:v>outlier</x:v>
      </x:c>
      <x:c r="H59" s="23" t="n">
        <x:v>0</x:v>
      </x:c>
      <x:c r="I59" s="17" t="n">
        <x:v>1</x:v>
      </x:c>
      <x:c r="J59" s="17" t="n">
        <x:v>1</x:v>
      </x:c>
      <x:c r="K59" s="17" t="n">
        <x:v>0</x:v>
      </x:c>
      <x:c r="L59" s="17" t="str">
        <x:v>positive</x:v>
      </x:c>
      <x:c r="M59" s="26" t="str">
        <x:v>泡毒流吗，不赖，这三个真是泡毒流吧</x:v>
      </x:c>
      <x:c r="N59" s="17" t="str">
        <x:v>https://www.bilibili.com/video/BV1AnKm6dEdy/</x:v>
      </x:c>
    </x:row>
    <x:row r="60">
      <x:c r="A60" s="17" t="str">
        <x:v>B站</x:v>
      </x:c>
      <x:c r="B60" s="20" t="str">
        <x:v>2026-07-20 19:09</x:v>
      </x:c>
      <x:c r="C60" s="17" t="str">
        <x:v>bili_browser_155d7ab436b364b2abde</x:v>
      </x:c>
      <x:c r="D60" s="17" t="str">
        <x:v>comment</x:v>
      </x:c>
      <x:c r="E60" s="17" t="str"/>
      <x:c r="F60" s="17" t="str"/>
      <x:c r="G60" s="17" t="str">
        <x:v>outlier</x:v>
      </x:c>
      <x:c r="H60" s="23" t="n">
        <x:v>0</x:v>
      </x:c>
      <x:c r="I60" s="17" t="n">
        <x:v>1</x:v>
      </x:c>
      <x:c r="J60" s="17" t="n">
        <x:v>1</x:v>
      </x:c>
      <x:c r="K60" s="17" t="n">
        <x:v>0</x:v>
      </x:c>
      <x:c r="L60" s="17" t="str">
        <x:v>negative</x:v>
      </x:c>
      <x:c r="M60" s="26" t="str">
        <x:v>诶哟我，🥚这个微调</x:v>
      </x:c>
      <x:c r="N60" s="17" t="str">
        <x:v>https://www.bilibili.com/video/BV1BVKU6JETp/</x:v>
      </x:c>
    </x:row>
    <x:row r="61">
      <x:c r="A61" s="17" t="str">
        <x:v>B站</x:v>
      </x:c>
      <x:c r="B61" s="20" t="str">
        <x:v>2026-07-20 19:10</x:v>
      </x:c>
      <x:c r="C61" s="17" t="str">
        <x:v>bili_browser_4151fdd2914b6f00e618</x:v>
      </x:c>
      <x:c r="D61" s="17" t="str">
        <x:v>comment</x:v>
      </x:c>
      <x:c r="E61" s="17" t="str">
        <x:v>APEX-T003</x:v>
      </x:c>
      <x:c r="F61" s="17" t="str">
        <x:v>赛事与主播</x:v>
      </x:c>
      <x:c r="G61" s="17" t="str">
        <x:v>retain</x:v>
      </x:c>
      <x:c r="H61" s="23" t="n">
        <x:v>1</x:v>
      </x:c>
      <x:c r="I61" s="17" t="n">
        <x:v>0</x:v>
      </x:c>
      <x:c r="J61" s="17" t="n">
        <x:v>0</x:v>
      </x:c>
      <x:c r="K61" s="17" t="n">
        <x:v>0</x:v>
      </x:c>
      <x:c r="L61" s="17" t="str">
        <x:v>positive</x:v>
      </x:c>
      <x:c r="M61" s="26" t="str">
        <x:v>我知道有个月薪十万的明星选手在寻找队伍</x:v>
      </x:c>
      <x:c r="N61" s="17" t="str">
        <x:v>https://www.bilibili.com/video/BV1BVKU6JETp/</x:v>
      </x:c>
    </x:row>
    <x:row r="62">
      <x:c r="A62" s="17" t="str">
        <x:v>B站</x:v>
      </x:c>
      <x:c r="B62" s="20" t="str">
        <x:v>2026-07-20 19:17</x:v>
      </x:c>
      <x:c r="C62" s="17" t="str">
        <x:v>bili_browser_fab8603696d5f93bb8a9</x:v>
      </x:c>
      <x:c r="D62" s="17" t="str">
        <x:v>comment</x:v>
      </x:c>
      <x:c r="E62" s="17" t="str">
        <x:v>APEX-T010</x:v>
      </x:c>
      <x:c r="F62" s="17" t="str">
        <x:v>赛事与主播竞技讨论</x:v>
      </x:c>
      <x:c r="G62" s="17" t="str">
        <x:v>retain</x:v>
      </x:c>
      <x:c r="H62" s="23" t="n">
        <x:v>1</x:v>
      </x:c>
      <x:c r="I62" s="17" t="n">
        <x:v>0</x:v>
      </x:c>
      <x:c r="J62" s="17" t="n">
        <x:v>0</x:v>
      </x:c>
      <x:c r="K62" s="17" t="n">
        <x:v>0</x:v>
      </x:c>
      <x:c r="L62" s="17" t="str">
        <x:v>negative</x:v>
      </x:c>
      <x:c r="M62" s="26" t="str">
        <x:v>毛毛指挥是吧</x:v>
      </x:c>
      <x:c r="N62" s="17" t="str">
        <x:v>https://www.bilibili.com/video/BV1AnKm6dEdy/</x:v>
      </x:c>
    </x:row>
    <x:row r="63">
      <x:c r="A63" s="17" t="str">
        <x:v>B站</x:v>
      </x:c>
      <x:c r="B63" s="20" t="str">
        <x:v>2026-07-20 19:25</x:v>
      </x:c>
      <x:c r="C63" s="17" t="str">
        <x:v>bili_browser_5072f95ffbad091ebfa2</x:v>
      </x:c>
      <x:c r="D63" s="17" t="str">
        <x:v>comment</x:v>
      </x:c>
      <x:c r="E63" s="17" t="str">
        <x:v>APEX-T010</x:v>
      </x:c>
      <x:c r="F63" s="17" t="str">
        <x:v>赛事与主播竞技讨论</x:v>
      </x:c>
      <x:c r="G63" s="17" t="str">
        <x:v>retain</x:v>
      </x:c>
      <x:c r="H63" s="23" t="n">
        <x:v>1</x:v>
      </x:c>
      <x:c r="I63" s="17" t="n">
        <x:v>0</x:v>
      </x:c>
      <x:c r="J63" s="17" t="n">
        <x:v>0</x:v>
      </x:c>
      <x:c r="K63" s="17" t="n">
        <x:v>0</x:v>
      </x:c>
      <x:c r="L63" s="17" t="str">
        <x:v>negative</x:v>
      </x:c>
      <x:c r="M63" s="26" t="str">
        <x:v>省流 enc ：qq dds 毛毛 algs：plq跟xx打完后回vkg</x:v>
      </x:c>
      <x:c r="N63" s="17" t="str">
        <x:v>https://www.bilibili.com/video/BV1AnKm6dEdy/</x:v>
      </x:c>
    </x:row>
    <x:row r="64">
      <x:c r="A64" s="17" t="str">
        <x:v>B站</x:v>
      </x:c>
      <x:c r="B64" s="20" t="str">
        <x:v>2026-07-20 19:43</x:v>
      </x:c>
      <x:c r="C64" s="17" t="str">
        <x:v>bili_browser_c5168c7c44bd2f0c4c49</x:v>
      </x:c>
      <x:c r="D64" s="17" t="str">
        <x:v>comment</x:v>
      </x:c>
      <x:c r="E64" s="17" t="str"/>
      <x:c r="F64" s="17" t="str"/>
      <x:c r="G64" s="17" t="str">
        <x:v>delete</x:v>
      </x:c>
      <x:c r="H64" s="23" t="n">
        <x:v>0.424818</x:v>
      </x:c>
      <x:c r="I64" s="17" t="n">
        <x:v>0</x:v>
      </x:c>
      <x:c r="J64" s="17" t="n">
        <x:v>1</x:v>
      </x:c>
      <x:c r="K64" s="17" t="n">
        <x:v>0</x:v>
      </x:c>
      <x:c r="L64" s="17" t="str">
        <x:v>neutral</x:v>
      </x:c>
      <x:c r="M64" s="26" t="str">
        <x:v>跑毒流来了</x:v>
      </x:c>
      <x:c r="N64" s="17" t="str">
        <x:v>https://www.bilibili.com/video/BV1AnKm6dEdy/</x:v>
      </x:c>
    </x:row>
    <x:row r="65">
      <x:c r="A65" s="17" t="str">
        <x:v>B站</x:v>
      </x:c>
      <x:c r="B65" s="20" t="str">
        <x:v>2026-07-20 20:05</x:v>
      </x:c>
      <x:c r="C65" s="17" t="str">
        <x:v>bili_browser_67d26a7577f3e455d91a</x:v>
      </x:c>
      <x:c r="D65" s="17" t="str">
        <x:v>comment</x:v>
      </x:c>
      <x:c r="E65" s="17" t="str"/>
      <x:c r="F65" s="17" t="str"/>
      <x:c r="G65" s="17" t="str">
        <x:v>outlier</x:v>
      </x:c>
      <x:c r="H65" s="23" t="n">
        <x:v>0</x:v>
      </x:c>
      <x:c r="I65" s="17" t="n">
        <x:v>1</x:v>
      </x:c>
      <x:c r="J65" s="17" t="n">
        <x:v>1</x:v>
      </x:c>
      <x:c r="K65" s="17" t="n">
        <x:v>0</x:v>
      </x:c>
      <x:c r="L65" s="17" t="str">
        <x:v>neutral</x:v>
      </x:c>
      <x:c r="M65" s="26" t="str">
        <x:v>enc这阵容吗，这三个人谁能指挥</x:v>
      </x:c>
      <x:c r="N65" s="17" t="str">
        <x:v>https://www.bilibili.com/video/BV1AnKm6dEdy/</x:v>
      </x:c>
    </x:row>
    <x:row r="66">
      <x:c r="A66" s="17" t="str">
        <x:v>B站</x:v>
      </x:c>
      <x:c r="B66" s="20" t="str">
        <x:v>2026-07-20 20:16</x:v>
      </x:c>
      <x:c r="C66" s="17" t="str">
        <x:v>bili_browser_50ea46e811b06b83ab69</x:v>
      </x:c>
      <x:c r="D66" s="17" t="str">
        <x:v>comment</x:v>
      </x:c>
      <x:c r="E66" s="17" t="str">
        <x:v>APEX-T003</x:v>
      </x:c>
      <x:c r="F66" s="17" t="str">
        <x:v>赛事与主播</x:v>
      </x:c>
      <x:c r="G66" s="17" t="str">
        <x:v>retain</x:v>
      </x:c>
      <x:c r="H66" s="23" t="n">
        <x:v>1</x:v>
      </x:c>
      <x:c r="I66" s="17" t="n">
        <x:v>0</x:v>
      </x:c>
      <x:c r="J66" s="17" t="n">
        <x:v>0</x:v>
      </x:c>
      <x:c r="K66" s="17" t="n">
        <x:v>0</x:v>
      </x:c>
      <x:c r="L66" s="17" t="str">
        <x:v>neutral</x:v>
      </x:c>
      <x:c r="M66" s="26" t="str">
        <x:v>enc是啥 是那个国家队的吗</x:v>
      </x:c>
      <x:c r="N66" s="17" t="str">
        <x:v>https://www.bilibili.com/video/BV1AnKm6dEdy/</x:v>
      </x:c>
    </x:row>
    <x:row r="67">
      <x:c r="A67" s="17" t="str">
        <x:v>B站</x:v>
      </x:c>
      <x:c r="B67" s="20" t="str">
        <x:v>2026-07-20 21:01</x:v>
      </x:c>
      <x:c r="C67" s="17" t="str">
        <x:v>bili_browser_011c21b774da315ce830</x:v>
      </x:c>
      <x:c r="D67" s="17" t="str">
        <x:v>comment</x:v>
      </x:c>
      <x:c r="E67" s="17" t="str">
        <x:v>APEX-T003</x:v>
      </x:c>
      <x:c r="F67" s="17" t="str">
        <x:v>赛事与主播</x:v>
      </x:c>
      <x:c r="G67" s="17" t="str">
        <x:v>retain</x:v>
      </x:c>
      <x:c r="H67" s="23" t="n">
        <x:v>1</x:v>
      </x:c>
      <x:c r="I67" s="17" t="n">
        <x:v>0</x:v>
      </x:c>
      <x:c r="J67" s="17" t="n">
        <x:v>0</x:v>
      </x:c>
      <x:c r="K67" s="17" t="n">
        <x:v>0</x:v>
      </x:c>
      <x:c r="L67" s="17" t="str">
        <x:v>positive</x:v>
      </x:c>
      <x:c r="M67" s="26" t="str">
        <x:v>最后进几个队</x:v>
      </x:c>
      <x:c r="N67" s="17" t="str">
        <x:v>https://www.bilibili.com/video/BV1AnKm6dEdy/</x:v>
      </x:c>
    </x:row>
    <x:row r="68">
      <x:c r="A68" s="17" t="str">
        <x:v>B站</x:v>
      </x:c>
      <x:c r="B68" s="20" t="str">
        <x:v>2026-07-20 21:37</x:v>
      </x:c>
      <x:c r="C68" s="17" t="str">
        <x:v>bili_browser_827d8ef81f89c3821a4f</x:v>
      </x:c>
      <x:c r="D68" s="17" t="str">
        <x:v>comment</x:v>
      </x:c>
      <x:c r="E68" s="17" t="str"/>
      <x:c r="F68" s="17" t="str"/>
      <x:c r="G68" s="17" t="str">
        <x:v>delete</x:v>
      </x:c>
      <x:c r="H68" s="23" t="n">
        <x:v>0.424818</x:v>
      </x:c>
      <x:c r="I68" s="17" t="n">
        <x:v>0</x:v>
      </x:c>
      <x:c r="J68" s="17" t="n">
        <x:v>1</x:v>
      </x:c>
      <x:c r="K68" s="17" t="n">
        <x:v>0</x:v>
      </x:c>
      <x:c r="L68" s="17" t="str">
        <x:v>positive</x:v>
      </x:c>
      <x:c r="M68" s="26" t="str">
        <x:v>@小曰向美香</x:v>
      </x:c>
      <x:c r="N68" s="17" t="str">
        <x:v>https://www.bilibili.com/video/BV1BVKU6JETp/</x:v>
      </x:c>
    </x:row>
    <x:row r="69">
      <x:c r="A69" s="17" t="str">
        <x:v>B站</x:v>
      </x:c>
      <x:c r="B69" s="20" t="str">
        <x:v>2026-07-20 21:55</x:v>
      </x:c>
      <x:c r="C69" s="17" t="str">
        <x:v>bili_browser_abc7f313658b8d008def</x:v>
      </x:c>
      <x:c r="D69" s="17" t="str">
        <x:v>comment</x:v>
      </x:c>
      <x:c r="E69" s="17" t="str"/>
      <x:c r="F69" s="17" t="str"/>
      <x:c r="G69" s="17" t="str">
        <x:v>outlier</x:v>
      </x:c>
      <x:c r="H69" s="23" t="n">
        <x:v>0</x:v>
      </x:c>
      <x:c r="I69" s="17" t="n">
        <x:v>1</x:v>
      </x:c>
      <x:c r="J69" s="17" t="n">
        <x:v>1</x:v>
      </x:c>
      <x:c r="K69" s="17" t="n">
        <x:v>0</x:v>
      </x:c>
      <x:c r="L69" s="17" t="str">
        <x:v>negative</x:v>
      </x:c>
      <x:c r="M69" s="26" t="str">
        <x:v>你就直接说huge怎么才能进季后赛</x:v>
      </x:c>
      <x:c r="N69" s="17" t="str">
        <x:v>https://www.bilibili.com/video/BV1E4KC6KEV2/</x:v>
      </x:c>
    </x:row>
    <x:row r="70">
      <x:c r="A70" s="17" t="str">
        <x:v>B站</x:v>
      </x:c>
      <x:c r="B70" s="20" t="str">
        <x:v>2026-07-20 22:30</x:v>
      </x:c>
      <x:c r="C70" s="17" t="str">
        <x:v>bili_browser_bba5269ff46718e8c75a</x:v>
      </x:c>
      <x:c r="D70" s="17" t="str">
        <x:v>comment</x:v>
      </x:c>
      <x:c r="E70" s="17" t="str">
        <x:v>APEX-T011</x:v>
      </x:c>
      <x:c r="F70" s="17" t="str">
        <x:v>版本、排位与赛事混合</x:v>
      </x:c>
      <x:c r="G70" s="17" t="str">
        <x:v>retain</x:v>
      </x:c>
      <x:c r="H70" s="23" t="n">
        <x:v>1</x:v>
      </x:c>
      <x:c r="I70" s="17" t="n">
        <x:v>0</x:v>
      </x:c>
      <x:c r="J70" s="17" t="n">
        <x:v>0</x:v>
      </x:c>
      <x:c r="K70" s="17" t="n">
        <x:v>0</x:v>
      </x:c>
      <x:c r="L70" s="17" t="str">
        <x:v>positive</x:v>
      </x:c>
      <x:c r="M70" s="26" t="str">
        <x:v>我也是，在靶场练枪练着练着，自己就开始在心里吐槽最近发生的一些不愉快的事</x:v>
      </x:c>
      <x:c r="N70" s="17" t="str">
        <x:v>https://www.bilibili.com/video/BV1BVKU6JETp/</x:v>
      </x:c>
    </x:row>
    <x:row r="71">
      <x:c r="A71" s="17" t="str">
        <x:v>B站</x:v>
      </x:c>
      <x:c r="B71" s="20" t="str">
        <x:v>2026-07-20 22:51</x:v>
      </x:c>
      <x:c r="C71" s="17" t="str">
        <x:v>bili_browser_ddac0853b5f83d15711c</x:v>
      </x:c>
      <x:c r="D71" s="17" t="str">
        <x:v>comment</x:v>
      </x:c>
      <x:c r="E71" s="17" t="str">
        <x:v>APEX-T011</x:v>
      </x:c>
      <x:c r="F71" s="17" t="str">
        <x:v>版本、排位与赛事混合</x:v>
      </x:c>
      <x:c r="G71" s="17" t="str">
        <x:v>retain</x:v>
      </x:c>
      <x:c r="H71" s="23" t="n">
        <x:v>1</x:v>
      </x:c>
      <x:c r="I71" s="17" t="n">
        <x:v>0</x:v>
      </x:c>
      <x:c r="J71" s="17" t="n">
        <x:v>0</x:v>
      </x:c>
      <x:c r="K71" s="17" t="n">
        <x:v>0</x:v>
      </x:c>
      <x:c r="L71" s="17" t="str">
        <x:v>neutral</x:v>
      </x:c>
      <x:c r="M71" s="26" t="str">
        <x:v>相信dds这会能打出自己的价值</x:v>
      </x:c>
      <x:c r="N71" s="17" t="str">
        <x:v>https://www.bilibili.com/video/BV1AnKm6dEdy/</x:v>
      </x:c>
    </x:row>
    <x:row r="72">
      <x:c r="A72" s="17" t="str">
        <x:v>B站</x:v>
      </x:c>
      <x:c r="B72" s="20" t="str">
        <x:v>2026-07-20 23:01</x:v>
      </x:c>
      <x:c r="C72" s="17" t="str">
        <x:v>bili_browser_e5d70ccdfee93dc26560</x:v>
      </x:c>
      <x:c r="D72" s="17" t="str">
        <x:v>comment</x:v>
      </x:c>
      <x:c r="E72" s="17" t="str"/>
      <x:c r="F72" s="17" t="str"/>
      <x:c r="G72" s="17" t="str">
        <x:v>outlier</x:v>
      </x:c>
      <x:c r="H72" s="23" t="n">
        <x:v>0</x:v>
      </x:c>
      <x:c r="I72" s="17" t="n">
        <x:v>1</x:v>
      </x:c>
      <x:c r="J72" s="17" t="n">
        <x:v>1</x:v>
      </x:c>
      <x:c r="K72" s="17" t="n">
        <x:v>0</x:v>
      </x:c>
      <x:c r="L72" s="17" t="str">
        <x:v>negative</x:v>
      </x:c>
      <x:c r="M72" s="26" t="str">
        <x:v>哈哈。agl出了三个指挥</x:v>
      </x:c>
      <x:c r="N72" s="17" t="str">
        <x:v>https://www.bilibili.com/video/BV1AnKm6dEdy/</x:v>
      </x:c>
    </x:row>
    <x:row r="73">
      <x:c r="A73" s="17" t="str">
        <x:v>B站</x:v>
      </x:c>
      <x:c r="B73" s="20" t="str">
        <x:v>2026-07-20 23:15</x:v>
      </x:c>
      <x:c r="C73" s="17" t="str">
        <x:v>bili_browser_05e5f938a562d17a98c7</x:v>
      </x:c>
      <x:c r="D73" s="17" t="str">
        <x:v>comment</x:v>
      </x:c>
      <x:c r="E73" s="17" t="str"/>
      <x:c r="F73" s="17" t="str"/>
      <x:c r="G73" s="17" t="str">
        <x:v>delete</x:v>
      </x:c>
      <x:c r="H73" s="23" t="n">
        <x:v>1</x:v>
      </x:c>
      <x:c r="I73" s="17" t="n">
        <x:v>0</x:v>
      </x:c>
      <x:c r="J73" s="17" t="n">
        <x:v>0</x:v>
      </x:c>
      <x:c r="K73" s="17" t="n">
        <x:v>0</x:v>
      </x:c>
      <x:c r="L73" s="17" t="str">
        <x:v>neutral</x:v>
      </x:c>
      <x:c r="M73" s="26" t="str">
        <x:v>毛毛是哪个来着，没有印象啊</x:v>
      </x:c>
      <x:c r="N73" s="17" t="str">
        <x:v>https://www.bilibili.com/video/BV1AnKm6dEdy/</x:v>
      </x:c>
    </x:row>
    <x:row r="74">
      <x:c r="A74" s="17" t="str">
        <x:v>B站</x:v>
      </x:c>
      <x:c r="B74" s="20" t="str">
        <x:v>2026-07-21 00:08</x:v>
      </x:c>
      <x:c r="C74" s="17" t="str">
        <x:v>bili_browser_55f88ff93298eb21404e</x:v>
      </x:c>
      <x:c r="D74" s="17" t="str">
        <x:v>comment</x:v>
      </x:c>
      <x:c r="E74" s="17" t="str"/>
      <x:c r="F74" s="17" t="str"/>
      <x:c r="G74" s="17" t="str">
        <x:v>outlier</x:v>
      </x:c>
      <x:c r="H74" s="23" t="n">
        <x:v>0</x:v>
      </x:c>
      <x:c r="I74" s="17" t="n">
        <x:v>1</x:v>
      </x:c>
      <x:c r="J74" s="17" t="n">
        <x:v>1</x:v>
      </x:c>
      <x:c r="K74" s="17" t="n">
        <x:v>0</x:v>
      </x:c>
      <x:c r="L74" s="17" t="str">
        <x:v>negative</x:v>
      </x:c>
      <x:c r="M74" s="26" t="str">
        <x:v>没爆在哪？pmm都要把xd莎了</x:v>
      </x:c>
      <x:c r="N74" s="17" t="str">
        <x:v>https://www.bilibili.com/video/BV1BVKU6JETp/</x:v>
      </x:c>
    </x:row>
    <x:row r="75">
      <x:c r="A75" s="17" t="str">
        <x:v>B站</x:v>
      </x:c>
      <x:c r="B75" s="20" t="str">
        <x:v>2026-07-21 01:02</x:v>
      </x:c>
      <x:c r="C75" s="17" t="str">
        <x:v>bili_browser_0d43e6a0f56e3cc52054</x:v>
      </x:c>
      <x:c r="D75" s="17" t="str">
        <x:v>comment</x:v>
      </x:c>
      <x:c r="E75" s="17" t="str"/>
      <x:c r="F75" s="17" t="str"/>
      <x:c r="G75" s="17" t="str">
        <x:v>outlier</x:v>
      </x:c>
      <x:c r="H75" s="23" t="n">
        <x:v>0</x:v>
      </x:c>
      <x:c r="I75" s="17" t="n">
        <x:v>1</x:v>
      </x:c>
      <x:c r="J75" s="17" t="n">
        <x:v>1</x:v>
      </x:c>
      <x:c r="K75" s="17" t="n">
        <x:v>0</x:v>
      </x:c>
      <x:c r="L75" s="17" t="str">
        <x:v>neutral</x:v>
      </x:c>
      <x:c r="M75" s="26" t="str">
        <x:v>这个是谁的粑粑</x:v>
      </x:c>
      <x:c r="N75" s="17" t="str">
        <x:v>https://www.bilibili.com/video/BV1BVKU6JETp/</x:v>
      </x:c>
    </x:row>
    <x:row r="76">
      <x:c r="A76" s="17" t="str">
        <x:v>B站</x:v>
      </x:c>
      <x:c r="B76" s="20" t="str">
        <x:v>2026-07-21 01:40</x:v>
      </x:c>
      <x:c r="C76" s="17" t="str">
        <x:v>bili_browser_c1d7dfe67d862e99ee98</x:v>
      </x:c>
      <x:c r="D76" s="17" t="str">
        <x:v>comment</x:v>
      </x:c>
      <x:c r="E76" s="17" t="str"/>
      <x:c r="F76" s="17" t="str"/>
      <x:c r="G76" s="17" t="str">
        <x:v>outlier</x:v>
      </x:c>
      <x:c r="H76" s="23" t="n">
        <x:v>0</x:v>
      </x:c>
      <x:c r="I76" s="17" t="n">
        <x:v>1</x:v>
      </x:c>
      <x:c r="J76" s="17" t="n">
        <x:v>1</x:v>
      </x:c>
      <x:c r="K76" s="17" t="n">
        <x:v>0</x:v>
      </x:c>
      <x:c r="L76" s="17" t="str">
        <x:v>positive</x:v>
      </x:c>
      <x:c r="M76" s="26" t="str">
        <x:v>我还有问题：我记得有个佛一密他们shadow是通过什么方法晋级的世界赛呢？他们参加的比赛属于是季后赛还是worlchampion呢？</x:v>
      </x:c>
      <x:c r="N76" s="17" t="str">
        <x:v>https://www.bilibili.com/video/BV1E4KC6KEV2/</x:v>
      </x:c>
    </x:row>
    <x:row r="77">
      <x:c r="A77" s="17" t="str">
        <x:v>B站</x:v>
      </x:c>
      <x:c r="B77" s="20" t="str">
        <x:v>2026-07-21 02:06</x:v>
      </x:c>
      <x:c r="C77" s="17" t="str">
        <x:v>bili_browser_c107913d3e690492bb18</x:v>
      </x:c>
      <x:c r="D77" s="17" t="str">
        <x:v>comment</x:v>
      </x:c>
      <x:c r="E77" s="17" t="str"/>
      <x:c r="F77" s="17" t="str"/>
      <x:c r="G77" s="17" t="str">
        <x:v>outlier</x:v>
      </x:c>
      <x:c r="H77" s="23" t="n">
        <x:v>0</x:v>
      </x:c>
      <x:c r="I77" s="17" t="n">
        <x:v>1</x:v>
      </x:c>
      <x:c r="J77" s="17" t="n">
        <x:v>1</x:v>
      </x:c>
      <x:c r="K77" s="17" t="n">
        <x:v>0</x:v>
      </x:c>
      <x:c r="L77" s="17" t="str">
        <x:v>neutral</x:v>
      </x:c>
      <x:c r="M77" s="26" t="str">
        <x:v>玩成生化大逃杀</x:v>
      </x:c>
      <x:c r="N77" s="17" t="str">
        <x:v>https://www.bilibili.com/video/BV1jkK66tErP/</x:v>
      </x:c>
    </x:row>
    <x:row r="78">
      <x:c r="A78" s="17" t="str">
        <x:v>B站</x:v>
      </x:c>
      <x:c r="B78" s="20" t="str">
        <x:v>2026-07-21 07:23</x:v>
      </x:c>
      <x:c r="C78" s="17" t="str">
        <x:v>bili_browser_9e98b52c7a3d879c5306</x:v>
      </x:c>
      <x:c r="D78" s="17" t="str">
        <x:v>comment</x:v>
      </x:c>
      <x:c r="E78" s="17" t="str">
        <x:v>APEX-T002</x:v>
      </x:c>
      <x:c r="F78" s="17" t="str">
        <x:v>赛季更新与玩法机制</x:v>
      </x:c>
      <x:c r="G78" s="17" t="str">
        <x:v>retain</x:v>
      </x:c>
      <x:c r="H78" s="23" t="n">
        <x:v>1</x:v>
      </x:c>
      <x:c r="I78" s="17" t="n">
        <x:v>0</x:v>
      </x:c>
      <x:c r="J78" s="17" t="n">
        <x:v>0</x:v>
      </x:c>
      <x:c r="K78" s="17" t="n">
        <x:v>0</x:v>
      </x:c>
      <x:c r="L78" s="17" t="str">
        <x:v>neutral</x:v>
      </x:c>
      <x:c r="M78" s="26" t="str">
        <x:v>一个地区只有一个资格？那竞争不是很大，而且不能都是同一个队伍的选手</x:v>
      </x:c>
      <x:c r="N78" s="17" t="str">
        <x:v>https://www.bilibili.com/video/BV1AnKm6dEdy/</x:v>
      </x:c>
    </x:row>
    <x:row r="79">
      <x:c r="A79" s="17" t="str">
        <x:v>B站</x:v>
      </x:c>
      <x:c r="B79" s="20" t="str">
        <x:v>2026-07-21 08:45</x:v>
      </x:c>
      <x:c r="C79" s="17" t="str">
        <x:v>bili_browser_cebf55dee61968e467f0</x:v>
      </x:c>
      <x:c r="D79" s="17" t="str">
        <x:v>comment</x:v>
      </x:c>
      <x:c r="E79" s="17" t="str"/>
      <x:c r="F79" s="17" t="str"/>
      <x:c r="G79" s="17" t="str">
        <x:v>delete</x:v>
      </x:c>
      <x:c r="H79" s="23" t="n">
        <x:v>0.424818</x:v>
      </x:c>
      <x:c r="I79" s="17" t="n">
        <x:v>0</x:v>
      </x:c>
      <x:c r="J79" s="17" t="n">
        <x:v>1</x:v>
      </x:c>
      <x:c r="K79" s="17" t="n">
        <x:v>0</x:v>
      </x:c>
      <x:c r="L79" s="17" t="str">
        <x:v>negative</x:v>
      </x:c>
      <x:c r="M79" s="26" t="str">
        <x:v>皮：我是精神病</x:v>
      </x:c>
      <x:c r="N79" s="17" t="str">
        <x:v>https://www.bilibili.com/video/BV1jkK66tErP/</x:v>
      </x:c>
    </x:row>
    <x:row r="80">
      <x:c r="A80" s="17" t="str">
        <x:v>B站</x:v>
      </x:c>
      <x:c r="B80" s="20" t="str">
        <x:v>2026-07-21 09:41</x:v>
      </x:c>
      <x:c r="C80" s="17" t="str">
        <x:v>bili_browser_7aaf44100211f0ad2b7b</x:v>
      </x:c>
      <x:c r="D80" s="17" t="str">
        <x:v>comment</x:v>
      </x:c>
      <x:c r="E80" s="17" t="str"/>
      <x:c r="F80" s="17" t="str"/>
      <x:c r="G80" s="17" t="str">
        <x:v>delete</x:v>
      </x:c>
      <x:c r="H80" s="23" t="n">
        <x:v>0.424818</x:v>
      </x:c>
      <x:c r="I80" s="17" t="n">
        <x:v>0</x:v>
      </x:c>
      <x:c r="J80" s="17" t="n">
        <x:v>1</x:v>
      </x:c>
      <x:c r="K80" s="17" t="n">
        <x:v>0</x:v>
      </x:c>
      <x:c r="L80" s="17" t="str">
        <x:v>neutral</x:v>
      </x:c>
      <x:c r="M80" s="26" t="str">
        <x:v>2026-7-21-9:41:03</x:v>
      </x:c>
      <x:c r="N80" s="17" t="str">
        <x:v>https://www.bilibili.com/video/BV1AnKm6dEdy/</x:v>
      </x:c>
    </x:row>
    <x:row r="81">
      <x:c r="A81" s="17" t="str">
        <x:v>B站</x:v>
      </x:c>
      <x:c r="B81" s="20" t="str">
        <x:v>2026-07-21 10:01</x:v>
      </x:c>
      <x:c r="C81" s="17" t="str">
        <x:v>bili_browser_de2d20424ee06e8e85ff</x:v>
      </x:c>
      <x:c r="D81" s="17" t="str">
        <x:v>comment</x:v>
      </x:c>
      <x:c r="E81" s="17" t="str"/>
      <x:c r="F81" s="17" t="str"/>
      <x:c r="G81" s="17" t="str">
        <x:v>delete</x:v>
      </x:c>
      <x:c r="H81" s="23" t="n">
        <x:v>0.424818</x:v>
      </x:c>
      <x:c r="I81" s="17" t="n">
        <x:v>0</x:v>
      </x:c>
      <x:c r="J81" s="17" t="n">
        <x:v>1</x:v>
      </x:c>
      <x:c r="K81" s="17" t="n">
        <x:v>0</x:v>
      </x:c>
      <x:c r="L81" s="17" t="str">
        <x:v>neutral</x:v>
      </x:c>
      <x:c r="M81" s="26" t="str">
        <x:v>@eiiither</x:v>
      </x:c>
      <x:c r="N81" s="17" t="str">
        <x:v>https://www.bilibili.com/video/BV1jkK66tErP/</x:v>
      </x:c>
    </x:row>
    <x:row r="82">
      <x:c r="A82" s="17" t="str">
        <x:v>B站</x:v>
      </x:c>
      <x:c r="B82" s="20" t="str">
        <x:v>2026-07-21 10:02</x:v>
      </x:c>
      <x:c r="C82" s="17" t="str">
        <x:v>bili_browser_dec1db076efdf67f5f44</x:v>
      </x:c>
      <x:c r="D82" s="17" t="str">
        <x:v>comment</x:v>
      </x:c>
      <x:c r="E82" s="17" t="str">
        <x:v>APEX-T007</x:v>
      </x:c>
      <x:c r="F82" s="17" t="str">
        <x:v>UP主视频反馈与设置求助</x:v>
      </x:c>
      <x:c r="G82" s="17" t="str">
        <x:v>retain</x:v>
      </x:c>
      <x:c r="H82" s="23" t="n">
        <x:v>1</x:v>
      </x:c>
      <x:c r="I82" s="17" t="n">
        <x:v>0</x:v>
      </x:c>
      <x:c r="J82" s="17" t="n">
        <x:v>0</x:v>
      </x:c>
      <x:c r="K82" s="17" t="n">
        <x:v>0</x:v>
      </x:c>
      <x:c r="L82" s="17" t="str">
        <x:v>positive</x:v>
      </x:c>
      <x:c r="M82" s="26" t="str">
        <x:v>我只用了一秒就猜出了up的段位，你也来试试吧</x:v>
      </x:c>
      <x:c r="N82" s="17" t="str">
        <x:v>https://www.bilibili.com/video/BV1WdKp6REJs/</x:v>
      </x:c>
    </x:row>
    <x:row r="83">
      <x:c r="A83" s="17" t="str">
        <x:v>B站</x:v>
      </x:c>
      <x:c r="B83" s="20" t="str">
        <x:v>2026-07-21 10:14</x:v>
      </x:c>
      <x:c r="C83" s="17" t="str">
        <x:v>bili_browser_7d7bcc5a4f21ce4dfc48</x:v>
      </x:c>
      <x:c r="D83" s="17" t="str">
        <x:v>comment</x:v>
      </x:c>
      <x:c r="E83" s="17" t="str">
        <x:v>APEX-T010</x:v>
      </x:c>
      <x:c r="F83" s="17" t="str">
        <x:v>赛事与主播竞技讨论</x:v>
      </x:c>
      <x:c r="G83" s="17" t="str">
        <x:v>retain</x:v>
      </x:c>
      <x:c r="H83" s="23" t="n">
        <x:v>1</x:v>
      </x:c>
      <x:c r="I83" s="17" t="n">
        <x:v>0</x:v>
      </x:c>
      <x:c r="J83" s="17" t="n">
        <x:v>0</x:v>
      </x:c>
      <x:c r="K83" s="17" t="n">
        <x:v>0</x:v>
      </x:c>
      <x:c r="L83" s="17" t="str">
        <x:v>neutral</x:v>
      </x:c>
      <x:c r="M83" s="26" t="str">
        <x:v>也就一般吧</x:v>
      </x:c>
      <x:c r="N83" s="17" t="str">
        <x:v>https://www.bilibili.com/video/BV1WdKp6REJs/</x:v>
      </x:c>
    </x:row>
    <x:row r="84">
      <x:c r="A84" s="17" t="str">
        <x:v>B站</x:v>
      </x:c>
      <x:c r="B84" s="20" t="str">
        <x:v>2026-07-21 10:26</x:v>
      </x:c>
      <x:c r="C84" s="17" t="str">
        <x:v>bili_browser_1d6cab1a60f4ba9f1bb2</x:v>
      </x:c>
      <x:c r="D84" s="17" t="str">
        <x:v>comment</x:v>
      </x:c>
      <x:c r="E84" s="17" t="str"/>
      <x:c r="F84" s="17" t="str"/>
      <x:c r="G84" s="17" t="str">
        <x:v>outlier</x:v>
      </x:c>
      <x:c r="H84" s="23" t="n">
        <x:v>0</x:v>
      </x:c>
      <x:c r="I84" s="17" t="n">
        <x:v>1</x:v>
      </x:c>
      <x:c r="J84" s="17" t="n">
        <x:v>1</x:v>
      </x:c>
      <x:c r="K84" s="17" t="n">
        <x:v>0</x:v>
      </x:c>
      <x:c r="L84" s="17" t="str">
        <x:v>neutral</x:v>
      </x:c>
      <x:c r="M84" s="26" t="str">
        <x:v>你这不对吧，我这个应该是正确的</x:v>
      </x:c>
      <x:c r="N84" s="17" t="str">
        <x:v>https://www.bilibili.com/video/BV1WdKp6REJs/</x:v>
      </x:c>
    </x:row>
    <x:row r="85">
      <x:c r="A85" s="17" t="str">
        <x:v>B站</x:v>
      </x:c>
      <x:c r="B85" s="20" t="str">
        <x:v>2026-07-21 10:31</x:v>
      </x:c>
      <x:c r="C85" s="17" t="str">
        <x:v>bili_browser_c45aacfd3f919a906196</x:v>
      </x:c>
      <x:c r="D85" s="17" t="str">
        <x:v>comment</x:v>
      </x:c>
      <x:c r="E85" s="17" t="str">
        <x:v>APEX-T002</x:v>
      </x:c>
      <x:c r="F85" s="17" t="str">
        <x:v>赛季更新与玩法机制</x:v>
      </x:c>
      <x:c r="G85" s="17" t="str">
        <x:v>retain</x:v>
      </x:c>
      <x:c r="H85" s="23" t="n">
        <x:v>1</x:v>
      </x:c>
      <x:c r="I85" s="17" t="n">
        <x:v>0</x:v>
      </x:c>
      <x:c r="J85" s="17" t="n">
        <x:v>0</x:v>
      </x:c>
      <x:c r="K85" s="17" t="n">
        <x:v>0</x:v>
      </x:c>
      <x:c r="L85" s="17" t="str">
        <x:v>positive</x:v>
      </x:c>
      <x:c r="M85" s="26" t="str">
        <x:v>纯定位</x:v>
      </x:c>
      <x:c r="N85" s="17" t="str">
        <x:v>https://www.bilibili.com/video/BV1BVKU6JETp/</x:v>
      </x:c>
    </x:row>
    <x:row r="86">
      <x:c r="A86" s="17" t="str">
        <x:v>B站</x:v>
      </x:c>
      <x:c r="B86" s="20" t="str">
        <x:v>2026-07-21 10:51</x:v>
      </x:c>
      <x:c r="C86" s="17" t="str">
        <x:v>bili_browser_cb35838f5107c3c20348</x:v>
      </x:c>
      <x:c r="D86" s="17" t="str">
        <x:v>comment</x:v>
      </x:c>
      <x:c r="E86" s="17" t="str"/>
      <x:c r="F86" s="17" t="str"/>
      <x:c r="G86" s="17" t="str">
        <x:v>delete</x:v>
      </x:c>
      <x:c r="H86" s="23" t="n">
        <x:v>0.424818</x:v>
      </x:c>
      <x:c r="I86" s="17" t="n">
        <x:v>0</x:v>
      </x:c>
      <x:c r="J86" s="17" t="n">
        <x:v>1</x:v>
      </x:c>
      <x:c r="K86" s="17" t="n">
        <x:v>0</x:v>
      </x:c>
      <x:c r="L86" s="17" t="str">
        <x:v>neutral</x:v>
      </x:c>
      <x:c r="M86" s="26" t="str">
        <x:v>打圈边吗</x:v>
      </x:c>
      <x:c r="N86" s="17" t="str">
        <x:v>https://www.bilibili.com/video/BV1AnKm6dEdy/</x:v>
      </x:c>
    </x:row>
    <x:row r="87">
      <x:c r="A87" s="17" t="str">
        <x:v>B站</x:v>
      </x:c>
      <x:c r="B87" s="20" t="str">
        <x:v>2026-07-21 11:24</x:v>
      </x:c>
      <x:c r="C87" s="17" t="str">
        <x:v>bili_browser_a87f17c79925b8f49d99</x:v>
      </x:c>
      <x:c r="D87" s="17" t="str">
        <x:v>comment</x:v>
      </x:c>
      <x:c r="E87" s="17" t="str"/>
      <x:c r="F87" s="17" t="str"/>
      <x:c r="G87" s="17" t="str">
        <x:v>delete</x:v>
      </x:c>
      <x:c r="H87" s="23" t="n">
        <x:v>1</x:v>
      </x:c>
      <x:c r="I87" s="17" t="n">
        <x:v>0</x:v>
      </x:c>
      <x:c r="J87" s="17" t="n">
        <x:v>0</x:v>
      </x:c>
      <x:c r="K87" s="17" t="n">
        <x:v>0</x:v>
      </x:c>
      <x:c r="L87" s="17" t="str">
        <x:v>neutral</x:v>
      </x:c>
      <x:c r="M87" s="26" t="str">
        <x:v>有點小運了 以前</x:v>
      </x:c>
      <x:c r="N87" s="17" t="str">
        <x:v>https://www.bilibili.com/video/BV1WdKp6REJs/</x:v>
      </x:c>
    </x:row>
    <x:row r="88">
      <x:c r="A88" s="17" t="str">
        <x:v>B站</x:v>
      </x:c>
      <x:c r="B88" s="20" t="str">
        <x:v>2026-07-21 11:45</x:v>
      </x:c>
      <x:c r="C88" s="17" t="str">
        <x:v>bili_browser_a6d7af8f1e3c41d33a9f</x:v>
      </x:c>
      <x:c r="D88" s="17" t="str">
        <x:v>comment</x:v>
      </x:c>
      <x:c r="E88" s="17" t="str">
        <x:v>APEX-T002</x:v>
      </x:c>
      <x:c r="F88" s="17" t="str">
        <x:v>赛季更新与玩法机制</x:v>
      </x:c>
      <x:c r="G88" s="17" t="str">
        <x:v>retain</x:v>
      </x:c>
      <x:c r="H88" s="23" t="n">
        <x:v>1</x:v>
      </x:c>
      <x:c r="I88" s="17" t="n">
        <x:v>0</x:v>
      </x:c>
      <x:c r="J88" s="17" t="n">
        <x:v>0</x:v>
      </x:c>
      <x:c r="K88" s="17" t="n">
        <x:v>1</x:v>
      </x:c>
      <x:c r="L88" s="17" t="str">
        <x:v>positive</x:v>
      </x:c>
      <x:c r="M88" s="26" t="str">
        <x:v>我真的只是运气好</x:v>
      </x:c>
      <x:c r="N88" s="17" t="str">
        <x:v>https://www.bilibili.com/video/BV1WdKp6REJs/</x:v>
      </x:c>
    </x:row>
    <x:row r="89">
      <x:c r="A89" s="17" t="str">
        <x:v>B站</x:v>
      </x:c>
      <x:c r="B89" s="20" t="str">
        <x:v>2026-07-21 11:49</x:v>
      </x:c>
      <x:c r="C89" s="17" t="str">
        <x:v>bili_browser_007c4758824496fe3386</x:v>
      </x:c>
      <x:c r="D89" s="17" t="str">
        <x:v>comment</x:v>
      </x:c>
      <x:c r="E89" s="17" t="str">
        <x:v>APEX-T001</x:v>
      </x:c>
      <x:c r="F89" s="17" t="str">
        <x:v>排位与匹配</x:v>
      </x:c>
      <x:c r="G89" s="17" t="str">
        <x:v>retain</x:v>
      </x:c>
      <x:c r="H89" s="23" t="n">
        <x:v>1</x:v>
      </x:c>
      <x:c r="I89" s="17" t="n">
        <x:v>0</x:v>
      </x:c>
      <x:c r="J89" s="17" t="n">
        <x:v>0</x:v>
      </x:c>
      <x:c r="K89" s="17" t="n">
        <x:v>0</x:v>
      </x:c>
      <x:c r="L89" s="17" t="str">
        <x:v>positive</x:v>
      </x:c>
      <x:c r="M89" s="26" t="str">
        <x:v>白金一才是神人最多的段位，有卡这上不去的钻，有不知道怎么上到这的铂金，有帮老板上钻的代，还有开小号专门在这游龙的顶分大师猎杀，前两天我记得皮直播都没推起来</x:v>
      </x:c>
      <x:c r="N89" s="17" t="str">
        <x:v>https://www.bilibili.com/video/BV1WdKp6REJs/</x:v>
      </x:c>
    </x:row>
    <x:row r="90">
      <x:c r="A90" s="17" t="str">
        <x:v>B站</x:v>
      </x:c>
      <x:c r="B90" s="20" t="str">
        <x:v>2026-07-21 11:49</x:v>
      </x:c>
      <x:c r="C90" s="17" t="str">
        <x:v>bili_browser_8fcb4fe76930e854c0e2</x:v>
      </x:c>
      <x:c r="D90" s="17" t="str">
        <x:v>comment</x:v>
      </x:c>
      <x:c r="E90" s="17" t="str"/>
      <x:c r="F90" s="17" t="str"/>
      <x:c r="G90" s="17" t="str">
        <x:v>delete</x:v>
      </x:c>
      <x:c r="H90" s="23" t="n">
        <x:v>1</x:v>
      </x:c>
      <x:c r="I90" s="17" t="n">
        <x:v>0</x:v>
      </x:c>
      <x:c r="J90" s="17" t="n">
        <x:v>0</x:v>
      </x:c>
      <x:c r="K90" s="17" t="n">
        <x:v>0</x:v>
      </x:c>
      <x:c r="L90" s="17" t="str">
        <x:v>positive</x:v>
      </x:c>
      <x:c r="M90" s="26" t="str">
        <x:v>有条也够爱删评论有懂的吗</x:v>
      </x:c>
      <x:c r="N90" s="17" t="str">
        <x:v>https://www.bilibili.com/video/BV1AnKm6dEdy/</x:v>
      </x:c>
    </x:row>
    <x:row r="91">
      <x:c r="A91" s="17" t="str">
        <x:v>B站</x:v>
      </x:c>
      <x:c r="B91" s="20" t="str">
        <x:v>2026-07-21 13:35</x:v>
      </x:c>
      <x:c r="C91" s="17" t="str">
        <x:v>bili_browser_5476137d0374bb9b9ecc</x:v>
      </x:c>
      <x:c r="D91" s="17" t="str">
        <x:v>comment</x:v>
      </x:c>
      <x:c r="E91" s="17" t="str"/>
      <x:c r="F91" s="17" t="str"/>
      <x:c r="G91" s="17" t="str">
        <x:v>delete</x:v>
      </x:c>
      <x:c r="H91" s="23" t="n">
        <x:v>0.424818</x:v>
      </x:c>
      <x:c r="I91" s="17" t="n">
        <x:v>0</x:v>
      </x:c>
      <x:c r="J91" s="17" t="n">
        <x:v>1</x:v>
      </x:c>
      <x:c r="K91" s="17" t="n">
        <x:v>0</x:v>
      </x:c>
      <x:c r="L91" s="17" t="str">
        <x:v>positive</x:v>
      </x:c>
      <x:c r="M91" s="26" t="str">
        <x:v>纯被带上去的有感觉么</x:v>
      </x:c>
      <x:c r="N91" s="17" t="str">
        <x:v>https://www.bilibili.com/video/BV1WdKp6REJs/</x:v>
      </x:c>
    </x:row>
    <x:row r="92">
      <x:c r="A92" s="17" t="str">
        <x:v>B站</x:v>
      </x:c>
      <x:c r="B92" s="20" t="str">
        <x:v>2026-07-21 14:03</x:v>
      </x:c>
      <x:c r="C92" s="17" t="str">
        <x:v>bili_browser_988aa33db66b28fe90b5</x:v>
      </x:c>
      <x:c r="D92" s="17" t="str">
        <x:v>comment</x:v>
      </x:c>
      <x:c r="E92" s="17" t="str"/>
      <x:c r="F92" s="17" t="str"/>
      <x:c r="G92" s="17" t="str">
        <x:v>delete</x:v>
      </x:c>
      <x:c r="H92" s="23" t="n">
        <x:v>0.424818</x:v>
      </x:c>
      <x:c r="I92" s="17" t="n">
        <x:v>0</x:v>
      </x:c>
      <x:c r="J92" s="17" t="n">
        <x:v>1</x:v>
      </x:c>
      <x:c r="K92" s="17" t="n">
        <x:v>0</x:v>
      </x:c>
      <x:c r="L92" s="17" t="str">
        <x:v>positive</x:v>
      </x:c>
      <x:c r="M92" s="26" t="str">
        <x:v>大狗叫叫叫，滋崩滋滋滋</x:v>
      </x:c>
      <x:c r="N92" s="17" t="str">
        <x:v>https://www.bilibili.com/video/BV1E4KC6KEV2/</x:v>
      </x:c>
    </x:row>
    <x:row r="93">
      <x:c r="A93" s="17" t="str">
        <x:v>B站</x:v>
      </x:c>
      <x:c r="B93" s="20" t="str">
        <x:v>2026-07-21 14:50</x:v>
      </x:c>
      <x:c r="C93" s="17" t="str">
        <x:v>bili_browser_83669ca3a63a24cdea9a</x:v>
      </x:c>
      <x:c r="D93" s="17" t="str">
        <x:v>comment</x:v>
      </x:c>
      <x:c r="E93" s="17" t="str"/>
      <x:c r="F93" s="17" t="str"/>
      <x:c r="G93" s="17" t="str">
        <x:v>outlier</x:v>
      </x:c>
      <x:c r="H93" s="23" t="n">
        <x:v>0</x:v>
      </x:c>
      <x:c r="I93" s="17" t="n">
        <x:v>1</x:v>
      </x:c>
      <x:c r="J93" s="17" t="n">
        <x:v>1</x:v>
      </x:c>
      <x:c r="K93" s="17" t="n">
        <x:v>0</x:v>
      </x:c>
      <x:c r="L93" s="17" t="str">
        <x:v>negative</x:v>
      </x:c>
      <x:c r="M93" s="26" t="str">
        <x:v>铂金一差几分上钻石可以算已经到钻石段位吗？</x:v>
      </x:c>
      <x:c r="N93" s="17" t="str">
        <x:v>https://www.bilibili.com/video/BV1WdKp6REJs/</x:v>
      </x:c>
    </x:row>
    <x:row r="94">
      <x:c r="A94" s="17" t="str">
        <x:v>B站</x:v>
      </x:c>
      <x:c r="B94" s="20" t="str">
        <x:v>2026-07-21 15:45</x:v>
      </x:c>
      <x:c r="C94" s="17" t="str">
        <x:v>bili_browser_fca55847e921e1a9fbc2</x:v>
      </x:c>
      <x:c r="D94" s="17" t="str">
        <x:v>comment</x:v>
      </x:c>
      <x:c r="E94" s="17" t="str"/>
      <x:c r="F94" s="17" t="str"/>
      <x:c r="G94" s="17" t="str">
        <x:v>delete</x:v>
      </x:c>
      <x:c r="H94" s="23" t="n">
        <x:v>0.74965</x:v>
      </x:c>
      <x:c r="I94" s="17" t="n">
        <x:v>0</x:v>
      </x:c>
      <x:c r="J94" s="17" t="n">
        <x:v>0</x:v>
      </x:c>
      <x:c r="K94" s="17" t="n">
        <x:v>0</x:v>
      </x:c>
      <x:c r="L94" s="17" t="str">
        <x:v>neutral</x:v>
      </x:c>
      <x:c r="M94" s="26" t="str">
        <x:v>僵尸（屏幕👈边）</x:v>
      </x:c>
      <x:c r="N94" s="17" t="str">
        <x:v>https://www.bilibili.com/video/BV1jkK66tErP/</x:v>
      </x:c>
    </x:row>
    <x:row r="95">
      <x:c r="A95" s="17" t="str">
        <x:v>B站</x:v>
      </x:c>
      <x:c r="B95" s="20" t="str">
        <x:v>2026-07-22 02:56</x:v>
      </x:c>
      <x:c r="C95" s="17" t="str">
        <x:v>bili_browser_3cd1285293d323c7be36</x:v>
      </x:c>
      <x:c r="D95" s="17" t="str">
        <x:v>comment</x:v>
      </x:c>
      <x:c r="E95" s="17" t="str"/>
      <x:c r="F95" s="17" t="str"/>
      <x:c r="G95" s="17" t="str">
        <x:v>delete</x:v>
      </x:c>
      <x:c r="H95" s="23" t="n">
        <x:v>0.424818</x:v>
      </x:c>
      <x:c r="I95" s="17" t="n">
        <x:v>0</x:v>
      </x:c>
      <x:c r="J95" s="17" t="n">
        <x:v>1</x:v>
      </x:c>
      <x:c r="K95" s="17" t="n">
        <x:v>0</x:v>
      </x:c>
      <x:c r="L95" s="17" t="str">
        <x:v>positive</x:v>
      </x:c>
      <x:c r="M95" s="26" t="str">
        <x:v>丧尸跑得快就很恐怖了</x:v>
      </x:c>
      <x:c r="N95" s="17" t="str">
        <x:v>https://www.bilibili.com/video/BV1jkK66tErP/</x:v>
      </x:c>
    </x:row>
    <x:row r="96">
      <x:c r="A96" s="17" t="str">
        <x:v>B站</x:v>
      </x:c>
      <x:c r="B96" s="20" t="str">
        <x:v>2026-07-22 06:15</x:v>
      </x:c>
      <x:c r="C96" s="17" t="str">
        <x:v>bili_browser_329213b1e69d026fc10d</x:v>
      </x:c>
      <x:c r="D96" s="17" t="str">
        <x:v>comment</x:v>
      </x:c>
      <x:c r="E96" s="17" t="str">
        <x:v>APEX-T010</x:v>
      </x:c>
      <x:c r="F96" s="17" t="str">
        <x:v>赛事与主播竞技讨论</x:v>
      </x:c>
      <x:c r="G96" s="17" t="str">
        <x:v>retain</x:v>
      </x:c>
      <x:c r="H96" s="23" t="n">
        <x:v>1</x:v>
      </x:c>
      <x:c r="I96" s="17" t="n">
        <x:v>0</x:v>
      </x:c>
      <x:c r="J96" s="17" t="n">
        <x:v>0</x:v>
      </x:c>
      <x:c r="K96" s="17" t="n">
        <x:v>0</x:v>
      </x:c>
      <x:c r="L96" s="17" t="str">
        <x:v>positive</x:v>
      </x:c>
      <x:c r="M96" s="26" t="str">
        <x:v>QQ我早就想到了，因为当时不是有个QQ飞车吗？</x:v>
      </x:c>
      <x:c r="N96" s="17" t="str">
        <x:v>https://www.bilibili.com/video/BV1AnKm6dEdy/</x:v>
      </x:c>
    </x:row>
    <x:row r="97">
      <x:c r="A97" s="17" t="str">
        <x:v>B站</x:v>
      </x:c>
      <x:c r="B97" s="20" t="str">
        <x:v>2026-07-22 09:35</x:v>
      </x:c>
      <x:c r="C97" s="17" t="str">
        <x:v>bili_browser_6324b63b4da8b17280a3</x:v>
      </x:c>
      <x:c r="D97" s="17" t="str">
        <x:v>comment</x:v>
      </x:c>
      <x:c r="E97" s="17" t="str"/>
      <x:c r="F97" s="17" t="str"/>
      <x:c r="G97" s="17" t="str">
        <x:v>delete</x:v>
      </x:c>
      <x:c r="H97" s="23" t="n">
        <x:v>0.424818</x:v>
      </x:c>
      <x:c r="I97" s="17" t="n">
        <x:v>0</x:v>
      </x:c>
      <x:c r="J97" s="17" t="n">
        <x:v>1</x:v>
      </x:c>
      <x:c r="K97" s="17" t="n">
        <x:v>0</x:v>
      </x:c>
      <x:c r="L97" s="17" t="str">
        <x:v>negative</x:v>
      </x:c>
      <x:c r="M97" s="26" t="str">
        <x:v>谁在门外大声喧哗</x:v>
      </x:c>
      <x:c r="N97" s="17" t="str">
        <x:v>https://www.bilibili.com/video/BV1WdKp6REJs/</x:v>
      </x:c>
    </x:row>
    <x:row r="98">
      <x:c r="A98" s="17" t="str">
        <x:v>B站</x:v>
      </x:c>
      <x:c r="B98" s="20" t="str">
        <x:v>2026-07-22 11:00</x:v>
      </x:c>
      <x:c r="C98" s="17" t="str">
        <x:v>bili_browser_6c75914b44eb1ee59fb0</x:v>
      </x:c>
      <x:c r="D98" s="17" t="str">
        <x:v>comment</x:v>
      </x:c>
      <x:c r="E98" s="17" t="str">
        <x:v>APEX-T001</x:v>
      </x:c>
      <x:c r="F98" s="17" t="str">
        <x:v>排位与匹配</x:v>
      </x:c>
      <x:c r="G98" s="17" t="str">
        <x:v>retain</x:v>
      </x:c>
      <x:c r="H98" s="23" t="n">
        <x:v>1</x:v>
      </x:c>
      <x:c r="I98" s="17" t="n">
        <x:v>0</x:v>
      </x:c>
      <x:c r="J98" s="17" t="n">
        <x:v>0</x:v>
      </x:c>
      <x:c r="K98" s="17" t="n">
        <x:v>0</x:v>
      </x:c>
      <x:c r="L98" s="17" t="str">
        <x:v>positive</x:v>
      </x:c>
      <x:c r="M98" s="26" t="str">
        <x:v>游戏时长120小时单排上大师的体验来看！个人感觉真正意义上的游戏体验要到钻石，才是迈出门那一步，钻石之后才能体验完整的游戏体验，游戏内从被人追着杀到追着别人杀！从刚开始的落地架无脑打架到赶图进圈判断最优解的踩点，到决赛圈内游龙杀个对穿获得捍卫者的结局，也有惜败，那种鼠标左键按着不放，键盘wasd+空格+蹲键几乎没松开过，身上没电没血没子弹，打架中途舔包换枪换甲，打架，身法，判断当前局势再做出行动一气呵成的爽感，玩apex要的就是这种酣畅淋漓的感觉，排第二体验也非常过瘾的时候，你就上大师了，尝试一下和猎杀掰掰手腕，然后达成成就：单防猎杀</x:v>
      </x:c>
      <x:c r="N98" s="17" t="str">
        <x:v>https://www.bilibili.com/video/BV1WdKp6REJs/</x:v>
      </x:c>
    </x:row>
    <x:row r="99">
      <x:c r="A99" s="17" t="str">
        <x:v>B站</x:v>
      </x:c>
      <x:c r="B99" s="20" t="str">
        <x:v>2026-07-22 11:47</x:v>
      </x:c>
      <x:c r="C99" s="17" t="str">
        <x:v>bili_browser_c3806a724a03b63a571e</x:v>
      </x:c>
      <x:c r="D99" s="17" t="str">
        <x:v>comment</x:v>
      </x:c>
      <x:c r="E99" s="17" t="str">
        <x:v>APEX-T001</x:v>
      </x:c>
      <x:c r="F99" s="17" t="str">
        <x:v>排位与匹配</x:v>
      </x:c>
      <x:c r="G99" s="17" t="str">
        <x:v>retain</x:v>
      </x:c>
      <x:c r="H99" s="23" t="n">
        <x:v>0.821598</x:v>
      </x:c>
      <x:c r="I99" s="17" t="n">
        <x:v>0</x:v>
      </x:c>
      <x:c r="J99" s="17" t="n">
        <x:v>0</x:v>
      </x:c>
      <x:c r="K99" s="17" t="n">
        <x:v>0</x:v>
      </x:c>
      <x:c r="L99" s="17" t="str">
        <x:v>positive</x:v>
      </x:c>
      <x:c r="M99" s="26" t="str">
        <x:v>铂金带黄金匹到猎这一块</x:v>
      </x:c>
      <x:c r="N99" s="17" t="str">
        <x:v>https://www.bilibili.com/video/BV1WdKp6REJs/</x:v>
      </x:c>
    </x:row>
    <x:row r="100">
      <x:c r="A100" s="17" t="str">
        <x:v>B站</x:v>
      </x:c>
      <x:c r="B100" s="20" t="str">
        <x:v>2026-07-22 23:15</x:v>
      </x:c>
      <x:c r="C100" s="17" t="str">
        <x:v>bili_browser_a9dfdc4040c2cfad7f24</x:v>
      </x:c>
      <x:c r="D100" s="17" t="str">
        <x:v>comment</x:v>
      </x:c>
      <x:c r="E100" s="17" t="str">
        <x:v>APEX-T001</x:v>
      </x:c>
      <x:c r="F100" s="17" t="str">
        <x:v>排位与匹配</x:v>
      </x:c>
      <x:c r="G100" s="17" t="str">
        <x:v>retain</x:v>
      </x:c>
      <x:c r="H100" s="23" t="n">
        <x:v>1</x:v>
      </x:c>
      <x:c r="I100" s="17" t="n">
        <x:v>0</x:v>
      </x:c>
      <x:c r="J100" s="17" t="n">
        <x:v>0</x:v>
      </x:c>
      <x:c r="K100" s="17" t="n">
        <x:v>0</x:v>
      </x:c>
      <x:c r="L100" s="17" t="str">
        <x:v>positive</x:v>
      </x:c>
      <x:c r="M100" s="26" t="str">
        <x:v>不应该是这样吗 白银：菜 黄金：菜 白金：运 钻石：运 大师：有不错的枪法与思路 猎杀：大运</x:v>
      </x:c>
      <x:c r="N100" s="17" t="str">
        <x:v>https://www.bilibili.com/video/BV1WdKp6REJs/</x:v>
      </x:c>
    </x:row>
    <x:row r="101">
      <x:c r="A101" s="17" t="str">
        <x:v>B站</x:v>
      </x:c>
      <x:c r="B101" s="20" t="str">
        <x:v>2026-07-23 03:27</x:v>
      </x:c>
      <x:c r="C101" s="17" t="str">
        <x:v>bili_browser_c49194b6dd1164895f5d</x:v>
      </x:c>
      <x:c r="D101" s="17" t="str">
        <x:v>comment</x:v>
      </x:c>
      <x:c r="E101" s="17" t="str"/>
      <x:c r="F101" s="17" t="str"/>
      <x:c r="G101" s="17" t="str">
        <x:v>delete</x:v>
      </x:c>
      <x:c r="H101" s="23" t="n">
        <x:v>0.424818</x:v>
      </x:c>
      <x:c r="I101" s="17" t="n">
        <x:v>0</x:v>
      </x:c>
      <x:c r="J101" s="17" t="n">
        <x:v>1</x:v>
      </x:c>
      <x:c r="K101" s="17" t="n">
        <x:v>0</x:v>
      </x:c>
      <x:c r="L101" s="17" t="str">
        <x:v>neutral</x:v>
      </x:c>
      <x:c r="M101" s="26" t="str">
        <x:v>仙凡有别</x:v>
      </x:c>
      <x:c r="N101" s="17" t="str">
        <x:v>https://www.bilibili.com/video/BV1WdKp6REJs/</x:v>
      </x:c>
    </x:row>
    <x:row r="102">
      <x:c r="A102" s="17" t="str">
        <x:v>B站</x:v>
      </x:c>
      <x:c r="B102" s="20" t="str">
        <x:v>2026-07-24 12:31</x:v>
      </x:c>
      <x:c r="C102" s="17" t="str">
        <x:v>bili_browser_a538d27f2164beecad36</x:v>
      </x:c>
      <x:c r="D102" s="17" t="str">
        <x:v>comment</x:v>
      </x:c>
      <x:c r="E102" s="17" t="str"/>
      <x:c r="F102" s="17" t="str"/>
      <x:c r="G102" s="17" t="str">
        <x:v>delete</x:v>
      </x:c>
      <x:c r="H102" s="23" t="n">
        <x:v>0.424818</x:v>
      </x:c>
      <x:c r="I102" s="17" t="n">
        <x:v>0</x:v>
      </x:c>
      <x:c r="J102" s="17" t="n">
        <x:v>1</x:v>
      </x:c>
      <x:c r="K102" s="17" t="n">
        <x:v>0</x:v>
      </x:c>
      <x:c r="L102" s="17" t="str">
        <x:v>neutral</x:v>
      </x:c>
      <x:c r="M102" s="26" t="str">
        <x:v>看完脑袋里只剩下大狗叫和叮咚鸡了</x:v>
      </x:c>
      <x:c r="N102" s="17" t="str">
        <x:v>https://www.bilibili.com/video/BV1E4KC6KEV2/</x:v>
      </x:c>
    </x:row>
    <x:row r="103">
      <x:c r="A103" s="17" t="str">
        <x:v>B站</x:v>
      </x:c>
      <x:c r="B103" s="20" t="str">
        <x:v>2026-07-25 11:12</x:v>
      </x:c>
      <x:c r="C103" s="17" t="str">
        <x:v>bili_browser_4bf8cb3b6b2d5e72082d</x:v>
      </x:c>
      <x:c r="D103" s="17" t="str">
        <x:v>comment</x:v>
      </x:c>
      <x:c r="E103" s="17" t="str"/>
      <x:c r="F103" s="17" t="str"/>
      <x:c r="G103" s="17" t="str">
        <x:v>delete</x:v>
      </x:c>
      <x:c r="H103" s="23" t="n">
        <x:v>1</x:v>
      </x:c>
      <x:c r="I103" s="17" t="n">
        <x:v>0</x:v>
      </x:c>
      <x:c r="J103" s="17" t="n">
        <x:v>0</x:v>
      </x:c>
      <x:c r="K103" s="17" t="n">
        <x:v>0</x:v>
      </x:c>
      <x:c r="L103" s="17" t="str">
        <x:v>negative</x:v>
      </x:c>
      <x:c r="M103" s="26" t="str">
        <x:v>你记住 铂是铂 钻是钻 天上一天地下一年</x:v>
      </x:c>
      <x:c r="N103" s="17" t="str">
        <x:v>https://www.bilibili.com/video/BV1WdKp6REJs/</x:v>
      </x:c>
    </x:row>
    <x:row r="104">
      <x:c r="A104" s="17" t="str">
        <x:v>B站</x:v>
      </x:c>
      <x:c r="B104" s="20" t="str">
        <x:v>2026-07-25 21:33</x:v>
      </x:c>
      <x:c r="C104" s="17" t="str">
        <x:v>bili_browser_60fef6e832d33e159a8f</x:v>
      </x:c>
      <x:c r="D104" s="17" t="str">
        <x:v>comment</x:v>
      </x:c>
      <x:c r="E104" s="17" t="str">
        <x:v>APEX-T004</x:v>
      </x:c>
      <x:c r="F104" s="17" t="str">
        <x:v>英雄技能与武器平衡</x:v>
      </x:c>
      <x:c r="G104" s="17" t="str">
        <x:v>retain</x:v>
      </x:c>
      <x:c r="H104" s="23" t="n">
        <x:v>1</x:v>
      </x:c>
      <x:c r="I104" s="17" t="n">
        <x:v>0</x:v>
      </x:c>
      <x:c r="J104" s="17" t="n">
        <x:v>0</x:v>
      </x:c>
      <x:c r="K104" s="17" t="n">
        <x:v>0</x:v>
      </x:c>
      <x:c r="L104" s="17" t="str">
        <x:v>negative</x:v>
      </x:c>
      <x:c r="M104" s="26" t="str">
        <x:v>感觉是把地图上所有的信标都开了然后紫甲了</x:v>
      </x:c>
      <x:c r="N104" s="17" t="str">
        <x:v>https://www.bilibili.com/video/BV1Tm3M6YENk/?vd_source=f68a95d7a66eb20991755335dab024b7</x:v>
      </x:c>
    </x:row>
    <x:row r="105">
      <x:c r="A105" s="17" t="str">
        <x:v>B站</x:v>
      </x:c>
      <x:c r="B105" s="20" t="str">
        <x:v>2026-07-25 22:25</x:v>
      </x:c>
      <x:c r="C105" s="17" t="str">
        <x:v>bili_browser_24cd8172b3f9755da077</x:v>
      </x:c>
      <x:c r="D105" s="17" t="str">
        <x:v>comment</x:v>
      </x:c>
      <x:c r="E105" s="17" t="str"/>
      <x:c r="F105" s="17" t="str"/>
      <x:c r="G105" s="17" t="str">
        <x:v>outlier</x:v>
      </x:c>
      <x:c r="H105" s="23" t="n">
        <x:v>0</x:v>
      </x:c>
      <x:c r="I105" s="17" t="n">
        <x:v>1</x:v>
      </x:c>
      <x:c r="J105" s="17" t="n">
        <x:v>1</x:v>
      </x:c>
      <x:c r="K105" s="17" t="n">
        <x:v>0</x:v>
      </x:c>
      <x:c r="L105" s="17" t="str">
        <x:v>positive</x:v>
      </x:c>
      <x:c r="M105" s="26" t="str">
        <x:v>后面子弹都拐弯了，能是绿玩？5：36</x:v>
      </x:c>
      <x:c r="N105" s="17" t="str">
        <x:v>https://www.bilibili.com/video/BV1Tm3M6YENk/?vd_source=f68a95d7a66eb20991755335dab024b7</x:v>
      </x:c>
    </x:row>
    <x:row r="106">
      <x:c r="A106" s="17" t="str">
        <x:v>B站</x:v>
      </x:c>
      <x:c r="B106" s="20" t="str">
        <x:v>2026-07-25 23:26</x:v>
      </x:c>
      <x:c r="C106" s="17" t="str">
        <x:v>bili_browser_8059dc98fdccdc80e0d1</x:v>
      </x:c>
      <x:c r="D106" s="17" t="str">
        <x:v>comment</x:v>
      </x:c>
      <x:c r="E106" s="17" t="str">
        <x:v>APEX-T012</x:v>
      </x:c>
      <x:c r="F106" s="17" t="str">
        <x:v>皮肤审美与官方运营</x:v>
      </x:c>
      <x:c r="G106" s="17" t="str">
        <x:v>retain</x:v>
      </x:c>
      <x:c r="H106" s="23" t="n">
        <x:v>1</x:v>
      </x:c>
      <x:c r="I106" s="17" t="n">
        <x:v>0</x:v>
      </x:c>
      <x:c r="J106" s="17" t="n">
        <x:v>0</x:v>
      </x:c>
      <x:c r="K106" s="17" t="n">
        <x:v>0</x:v>
      </x:c>
      <x:c r="L106" s="17" t="str">
        <x:v>positive</x:v>
      </x:c>
      <x:c r="M106" s="26" t="str">
        <x:v>重生还是干点人事的，仅限近半年</x:v>
      </x:c>
      <x:c r="N106" s="17" t="str">
        <x:v>https://www.bilibili.com/video/BV1Tm3M6YENk/?vd_source=f68a95d7a66eb20991755335dab024b7</x:v>
      </x:c>
    </x:row>
    <x:row r="107">
      <x:c r="A107" s="17" t="str">
        <x:v>B站</x:v>
      </x:c>
      <x:c r="B107" s="20" t="str">
        <x:v>2026-07-25 23:43</x:v>
      </x:c>
      <x:c r="C107" s="17" t="str">
        <x:v>bili_browser_93867a065d88475f5e0a</x:v>
      </x:c>
      <x:c r="D107" s="17" t="str">
        <x:v>comment</x:v>
      </x:c>
      <x:c r="E107" s="17" t="str"/>
      <x:c r="F107" s="17" t="str"/>
      <x:c r="G107" s="17" t="str">
        <x:v>delete</x:v>
      </x:c>
      <x:c r="H107" s="23" t="n">
        <x:v>1</x:v>
      </x:c>
      <x:c r="I107" s="17" t="n">
        <x:v>0</x:v>
      </x:c>
      <x:c r="J107" s="17" t="n">
        <x:v>0</x:v>
      </x:c>
      <x:c r="K107" s="17" t="n">
        <x:v>0</x:v>
      </x:c>
      <x:c r="L107" s="17" t="str">
        <x:v>negative</x:v>
      </x:c>
      <x:c r="M107" s="26" t="str">
        <x:v>带六套满改枪进游戏正常啊，本质不公平对抗，鉴定为绿玩</x:v>
      </x:c>
      <x:c r="N107" s="17" t="str">
        <x:v>https://www.bilibili.com/video/BV1Tm3M6YENk/?vd_source=f68a95d7a66eb20991755335dab024b7</x:v>
      </x:c>
    </x:row>
    <x:row r="108">
      <x:c r="A108" s="17" t="str">
        <x:v>B站</x:v>
      </x:c>
      <x:c r="B108" s="20" t="str">
        <x:v>2026-07-26 00:01</x:v>
      </x:c>
      <x:c r="C108" s="17" t="str">
        <x:v>bili_browser_d9770de1074317475367</x:v>
      </x:c>
      <x:c r="D108" s="17" t="str">
        <x:v>comment</x:v>
      </x:c>
      <x:c r="E108" s="17" t="str"/>
      <x:c r="F108" s="17" t="str"/>
      <x:c r="G108" s="17" t="str">
        <x:v>delete</x:v>
      </x:c>
      <x:c r="H108" s="23" t="n">
        <x:v>1</x:v>
      </x:c>
      <x:c r="I108" s="17" t="n">
        <x:v>0</x:v>
      </x:c>
      <x:c r="J108" s="17" t="n">
        <x:v>0</x:v>
      </x:c>
      <x:c r="K108" s="17" t="n">
        <x:v>0</x:v>
      </x:c>
      <x:c r="L108" s="17" t="str">
        <x:v>negative</x:v>
      </x:c>
      <x:c r="M108" s="26" t="str">
        <x:v>评论区呗</x:v>
      </x:c>
      <x:c r="N108" s="17" t="str">
        <x:v>https://www.bilibili.com/video/BV1E4KC6KEV2/</x:v>
      </x:c>
    </x:row>
    <x:row r="109">
      <x:c r="A109" s="17" t="str">
        <x:v>B站</x:v>
      </x:c>
      <x:c r="B109" s="20" t="str">
        <x:v>2026-07-26 00:02</x:v>
      </x:c>
      <x:c r="C109" s="17" t="str">
        <x:v>bili_browser_cd720a3fa9ae61ac6993</x:v>
      </x:c>
      <x:c r="D109" s="17" t="str">
        <x:v>comment</x:v>
      </x:c>
      <x:c r="E109" s="17" t="str">
        <x:v>APEX-T003</x:v>
      </x:c>
      <x:c r="F109" s="17" t="str">
        <x:v>赛事与主播</x:v>
      </x:c>
      <x:c r="G109" s="17" t="str">
        <x:v>retain</x:v>
      </x:c>
      <x:c r="H109" s="23" t="n">
        <x:v>1</x:v>
      </x:c>
      <x:c r="I109" s="17" t="n">
        <x:v>0</x:v>
      </x:c>
      <x:c r="J109" s="17" t="n">
        <x:v>0</x:v>
      </x:c>
      <x:c r="K109" s="17" t="n">
        <x:v>0</x:v>
      </x:c>
      <x:c r="L109" s="17" t="str">
        <x:v>negative</x:v>
      </x:c>
      <x:c r="M109" s="26" t="str">
        <x:v>这种大大方方开的都不说啥，那种小透小锁还给你演演的都不知道是真是假</x:v>
      </x:c>
      <x:c r="N109" s="17" t="str">
        <x:v>https://www.bilibili.com/video/BV1Tm3M6YENk/?vd_source=f68a95d7a66eb20991755335dab024b7</x:v>
      </x:c>
    </x:row>
    <x:row r="110">
      <x:c r="A110" s="17" t="str">
        <x:v>B站</x:v>
      </x:c>
      <x:c r="B110" s="20" t="str">
        <x:v>2026-07-26 01:19</x:v>
      </x:c>
      <x:c r="C110" s="17" t="str">
        <x:v>bili_browser_1f2f440005f221e69a2c</x:v>
      </x:c>
      <x:c r="D110" s="17" t="str">
        <x:v>comment</x:v>
      </x:c>
      <x:c r="E110" s="17" t="str"/>
      <x:c r="F110" s="17" t="str"/>
      <x:c r="G110" s="17" t="str">
        <x:v>outlier</x:v>
      </x:c>
      <x:c r="H110" s="23" t="n">
        <x:v>0</x:v>
      </x:c>
      <x:c r="I110" s="17" t="n">
        <x:v>1</x:v>
      </x:c>
      <x:c r="J110" s="17" t="n">
        <x:v>1</x:v>
      </x:c>
      <x:c r="K110" s="17" t="n">
        <x:v>0</x:v>
      </x:c>
      <x:c r="L110" s="17" t="str">
        <x:v>positive</x:v>
      </x:c>
      <x:c r="M110" s="26" t="str">
        <x:v>apex在外挂创新这一块远超其他游戏</x:v>
      </x:c>
      <x:c r="N110" s="17" t="str">
        <x:v>https://www.bilibili.com/video/BV1Tm3M6YENk/?vd_source=f68a95d7a66eb20991755335dab024b7</x:v>
      </x:c>
    </x:row>
    <x:row r="111">
      <x:c r="A111" s="17" t="str">
        <x:v>B站</x:v>
      </x:c>
      <x:c r="B111" s="20" t="str">
        <x:v>2026-07-26 02:56</x:v>
      </x:c>
      <x:c r="C111" s="17" t="str">
        <x:v>bili_browser_411510ee11826b1d9635</x:v>
      </x:c>
      <x:c r="D111" s="17" t="str">
        <x:v>comment</x:v>
      </x:c>
      <x:c r="E111" s="17" t="str">
        <x:v>APEX-T008</x:v>
      </x:c>
      <x:c r="F111" s="17" t="str">
        <x:v>英雄与武器强度</x:v>
      </x:c>
      <x:c r="G111" s="17" t="str">
        <x:v>retain</x:v>
      </x:c>
      <x:c r="H111" s="23" t="n">
        <x:v>1</x:v>
      </x:c>
      <x:c r="I111" s="17" t="n">
        <x:v>0</x:v>
      </x:c>
      <x:c r="J111" s="17" t="n">
        <x:v>0</x:v>
      </x:c>
      <x:c r="K111" s="17" t="n">
        <x:v>0</x:v>
      </x:c>
      <x:c r="L111" s="17" t="str">
        <x:v>positive</x:v>
      </x:c>
      <x:c r="M111" s="26" t="str">
        <x:v>看开局是一瞬间全扫了圈，机器人升了蓝甲再瞬间到了安全区控制台，这密客也是挂</x:v>
      </x:c>
      <x:c r="N111" s="17" t="str">
        <x:v>https://www.bilibili.com/video/BV1Tm3M6YENk/?vd_source=f68a95d7a66eb20991755335dab024b7</x:v>
      </x:c>
    </x:row>
    <x:row r="112">
      <x:c r="A112" s="17" t="str">
        <x:v>B站</x:v>
      </x:c>
      <x:c r="B112" s="20" t="str">
        <x:v>2026-07-26 03:29</x:v>
      </x:c>
      <x:c r="C112" s="17" t="str">
        <x:v>bili_browser_cf63861a166b9d470445</x:v>
      </x:c>
      <x:c r="D112" s="17" t="str">
        <x:v>comment</x:v>
      </x:c>
      <x:c r="E112" s="17" t="str"/>
      <x:c r="F112" s="17" t="str"/>
      <x:c r="G112" s="17" t="str">
        <x:v>outlier</x:v>
      </x:c>
      <x:c r="H112" s="23" t="n">
        <x:v>0</x:v>
      </x:c>
      <x:c r="I112" s="17" t="n">
        <x:v>1</x:v>
      </x:c>
      <x:c r="J112" s="17" t="n">
        <x:v>1</x:v>
      </x:c>
      <x:c r="K112" s="17" t="n">
        <x:v>0</x:v>
      </x:c>
      <x:c r="L112" s="17" t="str">
        <x:v>positive</x:v>
      </x:c>
      <x:c r="M112" s="26" t="str">
        <x:v>落地紫甲其实是可以达成的，落萨摩斯大学顶上连吃两个进化包就可以落地紫甲了</x:v>
      </x:c>
      <x:c r="N112" s="17" t="str">
        <x:v>https://www.bilibili.com/video/BV1Tm3M6YENk/?vd_source=f68a95d7a66eb20991755335dab024b7</x:v>
      </x:c>
    </x:row>
    <x:row r="113">
      <x:c r="A113" s="17" t="str">
        <x:v>B站</x:v>
      </x:c>
      <x:c r="B113" s="20" t="str">
        <x:v>2026-07-26 03:59</x:v>
      </x:c>
      <x:c r="C113" s="17" t="str">
        <x:v>bili_browser_8ad9f3e4cf79d3808e90</x:v>
      </x:c>
      <x:c r="D113" s="17" t="str">
        <x:v>comment</x:v>
      </x:c>
      <x:c r="E113" s="17" t="str"/>
      <x:c r="F113" s="17" t="str"/>
      <x:c r="G113" s="17" t="str">
        <x:v>delete</x:v>
      </x:c>
      <x:c r="H113" s="23" t="n">
        <x:v>0.424818</x:v>
      </x:c>
      <x:c r="I113" s="17" t="n">
        <x:v>0</x:v>
      </x:c>
      <x:c r="J113" s="17" t="n">
        <x:v>1</x:v>
      </x:c>
      <x:c r="K113" s="17" t="n">
        <x:v>0</x:v>
      </x:c>
      <x:c r="L113" s="17" t="str">
        <x:v>negative</x:v>
      </x:c>
      <x:c r="M113" s="26" t="str">
        <x:v>怎么断定那是老板啊？</x:v>
      </x:c>
      <x:c r="N113" s="17" t="str">
        <x:v>https://www.bilibili.com/video/BV1Tm3M6YENk/?vd_source=f68a95d7a66eb20991755335dab024b7</x:v>
      </x:c>
    </x:row>
    <x:row r="114">
      <x:c r="A114" s="17" t="str">
        <x:v>B站</x:v>
      </x:c>
      <x:c r="B114" s="20" t="str">
        <x:v>2026-07-26 05:08</x:v>
      </x:c>
      <x:c r="C114" s="17" t="str">
        <x:v>bili_browser_10d6e775be3ae400de81</x:v>
      </x:c>
      <x:c r="D114" s="17" t="str">
        <x:v>comment</x:v>
      </x:c>
      <x:c r="E114" s="17" t="str">
        <x:v>APEX-T002</x:v>
      </x:c>
      <x:c r="F114" s="17" t="str">
        <x:v>赛季更新与玩法机制</x:v>
      </x:c>
      <x:c r="G114" s="17" t="str">
        <x:v>retain</x:v>
      </x:c>
      <x:c r="H114" s="23" t="n">
        <x:v>1</x:v>
      </x:c>
      <x:c r="I114" s="17" t="n">
        <x:v>0</x:v>
      </x:c>
      <x:c r="J114" s="17" t="n">
        <x:v>0</x:v>
      </x:c>
      <x:c r="K114" s="17" t="n">
        <x:v>0</x:v>
      </x:c>
      <x:c r="L114" s="17" t="str">
        <x:v>negative</x:v>
      </x:c>
      <x:c r="M114" s="26" t="str">
        <x:v>难道不是白银吗</x:v>
      </x:c>
      <x:c r="N114" s="17" t="str">
        <x:v>https://www.bilibili.com/video/BV1WdKp6REJs/</x:v>
      </x:c>
    </x:row>
    <x:row r="115">
      <x:c r="A115" s="17" t="str">
        <x:v>B站</x:v>
      </x:c>
      <x:c r="B115" s="20" t="str">
        <x:v>2026-07-26 05:09</x:v>
      </x:c>
      <x:c r="C115" s="17" t="str">
        <x:v>bili_browser_e36432c6e79d0429714c</x:v>
      </x:c>
      <x:c r="D115" s="17" t="str">
        <x:v>comment</x:v>
      </x:c>
      <x:c r="E115" s="17" t="str"/>
      <x:c r="F115" s="17" t="str"/>
      <x:c r="G115" s="17" t="str">
        <x:v>outlier</x:v>
      </x:c>
      <x:c r="H115" s="23" t="n">
        <x:v>0</x:v>
      </x:c>
      <x:c r="I115" s="17" t="n">
        <x:v>1</x:v>
      </x:c>
      <x:c r="J115" s="17" t="n">
        <x:v>1</x:v>
      </x:c>
      <x:c r="K115" s="17" t="n">
        <x:v>0</x:v>
      </x:c>
      <x:c r="L115" s="17" t="str">
        <x:v>neutral</x:v>
      </x:c>
      <x:c r="M115" s="26" t="str">
        <x:v>幫你上分還舉報人家</x:v>
      </x:c>
      <x:c r="N115" s="17" t="str">
        <x:v>https://www.bilibili.com/video/BV1Tm3M6YENk/?vd_source=f68a95d7a66eb20991755335dab024b7</x:v>
      </x:c>
    </x:row>
    <x:row r="116">
      <x:c r="A116" s="17" t="str">
        <x:v>B站</x:v>
      </x:c>
      <x:c r="B116" s="20" t="str">
        <x:v>2026-07-26 08:03</x:v>
      </x:c>
      <x:c r="C116" s="17" t="str">
        <x:v>bili_browser_bb4979721be648c716d1</x:v>
      </x:c>
      <x:c r="D116" s="17" t="str">
        <x:v>comment</x:v>
      </x:c>
      <x:c r="E116" s="17" t="str"/>
      <x:c r="F116" s="17" t="str"/>
      <x:c r="G116" s="17" t="str">
        <x:v>outlier</x:v>
      </x:c>
      <x:c r="H116" s="23" t="n">
        <x:v>0</x:v>
      </x:c>
      <x:c r="I116" s="17" t="n">
        <x:v>1</x:v>
      </x:c>
      <x:c r="J116" s="17" t="n">
        <x:v>1</x:v>
      </x:c>
      <x:c r="K116" s="17" t="n">
        <x:v>0</x:v>
      </x:c>
      <x:c r="L116" s="17" t="str">
        <x:v>positive</x:v>
      </x:c>
      <x:c r="M116" s="26" t="str">
        <x:v>其实白金一趋于匹配忘了告诉你，白金一不是分水岭而是大家最喜欢的段位，是舒适区。新手可以在白金一成长，老油条可以在白金一享受，猎杀可以在白金一炸鱼爽。钻二才是这个游戏的分水岭。自从跳点机制出现后，钻二以上的排位，完完全全像是另一个游戏。从搜物资到打架，落地之后不超过30s，就要减少一队。就那个钱💰刚刷出来就已经开始减员了。</x:v>
      </x:c>
      <x:c r="N116" s="17" t="str">
        <x:v>https://www.bilibili.com/video/BV1WdKp6REJs/</x:v>
      </x:c>
    </x:row>
    <x:row r="117">
      <x:c r="A117" s="17" t="str">
        <x:v>B站</x:v>
      </x:c>
      <x:c r="B117" s="20" t="str">
        <x:v>2026-07-26 09:40</x:v>
      </x:c>
      <x:c r="C117" s="17" t="str">
        <x:v>bili_browser_f5dec6fdd386010b8dbf</x:v>
      </x:c>
      <x:c r="D117" s="17" t="str">
        <x:v>comment</x:v>
      </x:c>
      <x:c r="E117" s="17" t="str"/>
      <x:c r="F117" s="17" t="str"/>
      <x:c r="G117" s="17" t="str">
        <x:v>outlier</x:v>
      </x:c>
      <x:c r="H117" s="23" t="n">
        <x:v>0</x:v>
      </x:c>
      <x:c r="I117" s="17" t="n">
        <x:v>1</x:v>
      </x:c>
      <x:c r="J117" s="17" t="n">
        <x:v>1</x:v>
      </x:c>
      <x:c r="K117" s="17" t="n">
        <x:v>0</x:v>
      </x:c>
      <x:c r="L117" s="17" t="str">
        <x:v>positive</x:v>
      </x:c>
      <x:c r="M117" s="26" t="str">
        <x:v>我自己见过的最牛逼的是自带at立场的挂，他附近一定范围内的人会直接掉线然后朝他那边走，他直接打就行了，观战视角非常有意思。</x:v>
      </x:c>
      <x:c r="N117" s="17" t="str">
        <x:v>https://www.bilibili.com/video/BV1Tm3M6YENk/?vd_source=f68a95d7a66eb20991755335dab024b7</x:v>
      </x:c>
    </x:row>
    <x:row r="118">
      <x:c r="A118" s="17" t="str">
        <x:v>B站</x:v>
      </x:c>
      <x:c r="B118" s="20" t="str">
        <x:v>2026-07-26 10:16</x:v>
      </x:c>
      <x:c r="C118" s="17" t="str">
        <x:v>bili_browser_deec5319b2d6301b50d8</x:v>
      </x:c>
      <x:c r="D118" s="17" t="str">
        <x:v>comment</x:v>
      </x:c>
      <x:c r="E118" s="17" t="str"/>
      <x:c r="F118" s="17" t="str"/>
      <x:c r="G118" s="17" t="str">
        <x:v>outlier</x:v>
      </x:c>
      <x:c r="H118" s="23" t="n">
        <x:v>0</x:v>
      </x:c>
      <x:c r="I118" s="17" t="n">
        <x:v>1</x:v>
      </x:c>
      <x:c r="J118" s="17" t="n">
        <x:v>1</x:v>
      </x:c>
      <x:c r="K118" s="17" t="n">
        <x:v>0</x:v>
      </x:c>
      <x:c r="L118" s="17" t="str">
        <x:v>positive</x:v>
      </x:c>
      <x:c r="M118" s="26" t="str">
        <x:v>有个疑问，我看挂里面都没有配无限子弹功能的挂，这个在技术上是有什么难点吗？</x:v>
      </x:c>
      <x:c r="N118" s="17" t="str">
        <x:v>https://www.bilibili.com/video/BV1Tm3M6YENk/?vd_source=f68a95d7a66eb20991755335dab024b7</x:v>
      </x:c>
    </x:row>
    <x:row r="119">
      <x:c r="A119" s="17" t="str">
        <x:v>B站</x:v>
      </x:c>
      <x:c r="B119" s="20" t="str">
        <x:v>2026-07-26 14:45</x:v>
      </x:c>
      <x:c r="C119" s="17" t="str">
        <x:v>bili_browser_e55f67e392fb06350de0</x:v>
      </x:c>
      <x:c r="D119" s="17" t="str">
        <x:v>comment</x:v>
      </x:c>
      <x:c r="E119" s="17" t="str">
        <x:v>APEX-T011</x:v>
      </x:c>
      <x:c r="F119" s="17" t="str">
        <x:v>版本、排位与赛事混合</x:v>
      </x:c>
      <x:c r="G119" s="17" t="str">
        <x:v>retain</x:v>
      </x:c>
      <x:c r="H119" s="23" t="n">
        <x:v>1</x:v>
      </x:c>
      <x:c r="I119" s="17" t="n">
        <x:v>0</x:v>
      </x:c>
      <x:c r="J119" s="17" t="n">
        <x:v>0</x:v>
      </x:c>
      <x:c r="K119" s="17" t="n">
        <x:v>0</x:v>
      </x:c>
      <x:c r="L119" s="17" t="str">
        <x:v>positive</x:v>
      </x:c>
      <x:c r="M119" s="26" t="str">
        <x:v>不想上段有什么头绪，匹配强度太高，排位下三段正好随便玩</x:v>
      </x:c>
      <x:c r="N119" s="17" t="str">
        <x:v>https://www.bilibili.com/video/BV1WdKp6REJs/</x:v>
      </x:c>
    </x:row>
    <x:row r="120">
      <x:c r="A120" s="17" t="str">
        <x:v>B站</x:v>
      </x:c>
      <x:c r="B120" s="20" t="str">
        <x:v>2026-07-26 15:01</x:v>
      </x:c>
      <x:c r="C120" s="17" t="str">
        <x:v>bili_browser_220f6793284d22b7366a</x:v>
      </x:c>
      <x:c r="D120" s="17" t="str">
        <x:v>comment</x:v>
      </x:c>
      <x:c r="E120" s="17" t="str"/>
      <x:c r="F120" s="17" t="str"/>
      <x:c r="G120" s="17" t="str">
        <x:v>outlier</x:v>
      </x:c>
      <x:c r="H120" s="23" t="n">
        <x:v>0</x:v>
      </x:c>
      <x:c r="I120" s="17" t="n">
        <x:v>1</x:v>
      </x:c>
      <x:c r="J120" s="17" t="n">
        <x:v>1</x:v>
      </x:c>
      <x:c r="K120" s="17" t="n">
        <x:v>0</x:v>
      </x:c>
      <x:c r="L120" s="17" t="str">
        <x:v>positive</x:v>
      </x:c>
      <x:c r="M120" s="26" t="str">
        <x:v>apex外挂花样多得很，之前一直强制换子弹，还有湘西赶尸，一群人走一个方向，其实都是一个人操作。之前比赛的时候一个职业选手被黑了。还有给人送500个箱子 我记得一个人叫什么什么2009还是啥，还可以盗你的号跟你一起玩游戏。</x:v>
      </x:c>
      <x:c r="N120" s="17" t="str">
        <x:v>https://www.bilibili.com/video/BV1Tm3M6YENk/?vd_source=f68a95d7a66eb20991755335dab024b7</x:v>
      </x:c>
    </x:row>
    <x:row r="121">
      <x:c r="A121" s="17" t="str">
        <x:v>B站</x:v>
      </x:c>
      <x:c r="B121" s="20" t="str">
        <x:v>2026-07-26 17:34</x:v>
      </x:c>
      <x:c r="C121" s="17" t="str">
        <x:v>bili_browser_28da61cd305426b2c2b9</x:v>
      </x:c>
      <x:c r="D121" s="17" t="str">
        <x:v>comment</x:v>
      </x:c>
      <x:c r="E121" s="17" t="str"/>
      <x:c r="F121" s="17" t="str"/>
      <x:c r="G121" s="17" t="str">
        <x:v>outlier</x:v>
      </x:c>
      <x:c r="H121" s="23" t="n">
        <x:v>0</x:v>
      </x:c>
      <x:c r="I121" s="17" t="n">
        <x:v>1</x:v>
      </x:c>
      <x:c r="J121" s="17" t="n">
        <x:v>1</x:v>
      </x:c>
      <x:c r="K121" s="17" t="n">
        <x:v>0</x:v>
      </x:c>
      <x:c r="L121" s="17" t="str">
        <x:v>positive</x:v>
      </x:c>
      <x:c r="M121" s="26" t="str">
        <x:v>在我们apex里，这种能观战的，统一定义为绿玩，如果你遇上有人跑过来子弹拐弯把你打死，然后你还不能观战，那就是铁挂</x:v>
      </x:c>
      <x:c r="N121" s="17" t="str">
        <x:v>https://www.bilibili.com/video/BV1Tm3M6YENk/?vd_source=f68a95d7a66eb20991755335dab024b7</x:v>
      </x:c>
    </x:row>
    <x:row r="122">
      <x:c r="A122" s="17" t="str">
        <x:v>B站</x:v>
      </x:c>
      <x:c r="B122" s="20" t="str">
        <x:v>2026-07-26 19:34</x:v>
      </x:c>
      <x:c r="C122" s="17" t="str">
        <x:v>bili_browser_e6d75c0f0abf06d8b19f</x:v>
      </x:c>
      <x:c r="D122" s="17" t="str">
        <x:v>comment</x:v>
      </x:c>
      <x:c r="E122" s="17" t="str">
        <x:v>APEX-T011</x:v>
      </x:c>
      <x:c r="F122" s="17" t="str">
        <x:v>版本、排位与赛事混合</x:v>
      </x:c>
      <x:c r="G122" s="17" t="str">
        <x:v>retain</x:v>
      </x:c>
      <x:c r="H122" s="23" t="n">
        <x:v>1</x:v>
      </x:c>
      <x:c r="I122" s="17" t="n">
        <x:v>0</x:v>
      </x:c>
      <x:c r="J122" s="17" t="n">
        <x:v>0</x:v>
      </x:c>
      <x:c r="K122" s="17" t="n">
        <x:v>0</x:v>
      </x:c>
      <x:c r="L122" s="17" t="str">
        <x:v>positive</x:v>
      </x:c>
      <x:c r="M122" s="26" t="str">
        <x:v>我认识这个人，写代码的。自己写自己玩的。</x:v>
      </x:c>
      <x:c r="N122" s="17" t="str">
        <x:v>https://www.bilibili.com/video/BV1Tm3M6YENk/?vd_source=f68a95d7a66eb20991755335dab024b7</x:v>
      </x:c>
    </x:row>
    <x:row r="123">
      <x:c r="A123" s="17" t="str">
        <x:v>B站</x:v>
      </x:c>
      <x:c r="B123" s="20" t="str">
        <x:v>2026-07-26 20:24</x:v>
      </x:c>
      <x:c r="C123" s="17" t="str">
        <x:v>bili_browser_176393e31d1d1ee33a6e</x:v>
      </x:c>
      <x:c r="D123" s="17" t="str">
        <x:v>comment</x:v>
      </x:c>
      <x:c r="E123" s="17" t="str"/>
      <x:c r="F123" s="17" t="str"/>
      <x:c r="G123" s="17" t="str">
        <x:v>outlier</x:v>
      </x:c>
      <x:c r="H123" s="23" t="n">
        <x:v>0</x:v>
      </x:c>
      <x:c r="I123" s="17" t="n">
        <x:v>1</x:v>
      </x:c>
      <x:c r="J123" s="17" t="n">
        <x:v>1</x:v>
      </x:c>
      <x:c r="K123" s="17" t="n">
        <x:v>0</x:v>
      </x:c>
      <x:c r="L123" s="17" t="str">
        <x:v>neutral</x:v>
      </x:c>
      <x:c r="M123" s="26" t="str">
        <x:v>那我0.6kd白银3怎么说</x:v>
      </x:c>
      <x:c r="N123" s="17" t="str">
        <x:v>https://www.bilibili.com/video/BV1WdKp6REJs/</x:v>
      </x:c>
    </x:row>
    <x:row r="124">
      <x:c r="A124" s="18" t="str">
        <x:v>B站</x:v>
      </x:c>
      <x:c r="B124" s="21" t="str">
        <x:v>2026-07-26 23:12</x:v>
      </x:c>
      <x:c r="C124" s="18" t="str">
        <x:v>bili_browser_c42ad21853c354894cd1</x:v>
      </x:c>
      <x:c r="D124" s="18" t="str">
        <x:v>comment</x:v>
      </x:c>
      <x:c r="E124" s="18" t="str"/>
      <x:c r="F124" s="18" t="str"/>
      <x:c r="G124" s="18" t="str">
        <x:v>outlier</x:v>
      </x:c>
      <x:c r="H124" s="24" t="n">
        <x:v>0</x:v>
      </x:c>
      <x:c r="I124" s="18" t="n">
        <x:v>1</x:v>
      </x:c>
      <x:c r="J124" s="18" t="n">
        <x:v>1</x:v>
      </x:c>
      <x:c r="K124" s="18" t="n">
        <x:v>0</x:v>
      </x:c>
      <x:c r="L124" s="18" t="str">
        <x:v>negative</x:v>
      </x:c>
      <x:c r="M124" s="27" t="str">
        <x:v>开局.......刷...短视频..........可以....升...紫甲</x:v>
      </x:c>
      <x:c r="N124" s="18" t="str">
        <x:v>https://www.bilibili.com/video/BV1Tm3M6YENk/?vd_source=f68a95d7a66eb20991755335dab024b7</x:v>
      </x:c>
    </x:row>
  </x:sheetData>
  <x:conditionalFormatting sqref="L2:L124">
    <x:cfRule type="containsText" dxfId="0" priority="1" operator="containsText" text="negative"/>
    <x:cfRule type="containsText" dxfId="1" priority="2" operator="containsText" text="positive"/>
  </x:conditionalFormatting>
  <x:conditionalFormatting sqref="J2:J124">
    <x:cfRule type="cellIs" dxfId="2" priority="3" operator="equal">
      <x:formula>1</x:formula>
    </x:cfRule>
  </x:conditionalFormatting>
  <x:pageMargins left="0.7" right="0.7" top="0.75" bottom="0.75" header="0.3" footer="0.3"/>
  <x:tableParts count="1">
    <x:tablePart xmlns:r="http://schemas.openxmlformats.org/officeDocument/2006/relationships" r:id="R98069e5c34ed48db"/>
  </x:tableParts>
</x:worksheet>
</file>