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d3a1f092b643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5c2b6d0876944cc"/>
    <x:sheet xmlns:r="http://schemas.openxmlformats.org/officeDocument/2006/relationships" name="Data &amp; QA" sheetId="2" r:id="R83e9d75302bf4136"/>
  </x:sheets>
</x:workbook>
</file>

<file path=xl/comments1.xml><?xml version="1.0" encoding="utf-8"?>
<x:comments xmlns:x="http://schemas.openxmlformats.org/spreadsheetml/2006/main">
  <x:authors>
    <x:author>tc={8C02F7B0-B0A4-B42D-CA20-3A044FBE6DE0}</x:author>
  </x:authors>
  <x:commentList>
    <x:comment ref="A2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Bilibili counts comments; Heybox counts public-search-visible posts. These units are not a platform-wide cross-platform total.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%"/>
    <x:numFmt numFmtId="201" formatCode="0.000"/>
  </x:numFmts>
  <x:fonts count="57">
    <x:font>
      <x:sz val="11"/>
      <x:color theme="1"/>
      <x:name val="宋体"/>
    </x:font>
    <x:font>
      <x:b/>
      <x:sz val="10"/>
      <x:color rgb="FFFFFFFF"/>
      <x:name val="Source Sans Pro"/>
    </x:font>
    <x:font>
      <x:b/>
      <x:sz val="6"/>
      <x:color rgb="FFFFFFFF"/>
      <x:name val="Source Sans Pro"/>
    </x:font>
    <x:font>
      <x:b/>
      <x:sz val="6"/>
      <x:color rgb="FF434343"/>
      <x:name val="Source Sans Pro"/>
    </x:font>
    <x:font>
      <x:b/>
      <x:sz val="9"/>
      <x:color rgb="FF434343"/>
      <x:name val="Source Sans Pro"/>
    </x:font>
    <x:font>
      <x:b/>
      <x:sz val="8"/>
      <x:color rgb="FF008000"/>
      <x:name val="Source Sans Pro"/>
    </x:font>
    <x:font>
      <x:i/>
      <x:sz val="6"/>
      <x:color rgb="FF434343"/>
      <x:name val="Source Sans Pro"/>
    </x:font>
    <x:font>
      <x:b/>
      <x:sz val="8"/>
      <x:color rgb="FF434343"/>
      <x:name val="Source Sans Pro"/>
    </x:font>
    <x:font>
      <x:b/>
      <x:sz val="8"/>
      <x:color rgb="FFFF0000"/>
      <x:name val="Source Sans Pro"/>
    </x:font>
    <x:font>
      <x:i/>
      <x:sz val="6"/>
      <x:color theme="1"/>
      <x:name val="Source Sans Pro"/>
    </x:font>
    <x:font>
      <x:i/>
      <x:sz val="6"/>
      <x:color rgb="FF434343"/>
      <x:name val="Source Sans Pro"/>
    </x:font>
    <x:font>
      <x:sz val="11"/>
      <x:color rgb="FFFF0000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6"/>
      <x:color rgb="FFFFFFFF"/>
      <x:name val="Source Sans Pro"/>
    </x:font>
    <x:font>
      <x:b/>
      <x:i/>
      <x:sz val="6"/>
      <x:color rgb="FF434343"/>
      <x:name val="Source Sans Pro"/>
    </x:font>
    <x:font>
      <x:b/>
      <x:sz val="6"/>
      <x:color rgb="FF434343"/>
      <x:name val="Source Sans Pro"/>
    </x:font>
    <x:font>
      <x:b/>
      <x:sz val="9"/>
      <x:color rgb="FF434343"/>
      <x:name val="Source Sans Pro"/>
    </x:font>
    <x:font>
      <x:sz val="11"/>
      <x:color theme="1"/>
      <x:name val="宋体"/>
    </x:font>
    <x:font>
      <x:i/>
      <x:sz val="11"/>
      <x:color theme="1"/>
      <x:name val="宋体"/>
    </x:font>
    <x:font>
      <x:i/>
      <x:sz val="6"/>
      <x:color theme="1"/>
      <x:name val="宋体"/>
    </x:font>
    <x:font>
      <x:i/>
      <x:sz val="6"/>
      <x:color theme="1"/>
      <x:name val="Source Sans Pro"/>
    </x:font>
    <x:font>
      <x:i/>
      <x:sz val="6"/>
      <x:color rgb="FF434343"/>
      <x:name val="Source Sans Pro"/>
    </x:font>
    <x:font>
      <x:b/>
      <x:sz val="11"/>
      <x:color rgb="FFFF0000"/>
      <x:name val="宋体"/>
    </x:font>
    <x:font>
      <x:b/>
      <x:sz val="11"/>
      <x:color rgb="FFFF0000"/>
      <x:name val="宋体"/>
    </x:font>
    <x:font>
      <x:b/>
      <x:sz val="11"/>
      <x:color theme="1"/>
      <x:name val="宋体"/>
    </x:font>
    <x:font>
      <x:b/>
      <x:sz val="8"/>
      <x:color rgb="FFFF0000"/>
      <x:name val="宋体"/>
    </x:font>
    <x:font>
      <x:b/>
      <x:sz val="8"/>
      <x:color theme="1"/>
      <x:name val="宋体"/>
    </x:font>
    <x:font>
      <x:b/>
      <x:sz val="8"/>
      <x:color rgb="FFFF0000"/>
      <x:name val="Source Sans Pro"/>
    </x:font>
    <x:font>
      <x:b/>
      <x:sz val="8"/>
      <x:color theme="1"/>
      <x:name val="Source Sans Pro"/>
    </x:font>
    <x:font>
      <x:b/>
      <x:sz val="9"/>
      <x:color theme="1"/>
      <x:name val="宋体"/>
    </x:font>
    <x:font>
      <x:b/>
      <x:sz val="9"/>
      <x:color theme="1"/>
      <x:name val="Source Sans Pro"/>
    </x:font>
    <x:font>
      <x:b/>
      <x:sz val="8"/>
      <x:color rgb="FF008000"/>
      <x:name val="Source Sans Pro"/>
    </x:font>
    <x:font>
      <x:b/>
      <x:sz val="8"/>
      <x:color rgb="FF434343"/>
      <x:name val="Source Sans Pro"/>
    </x:font>
    <x:font>
      <x:b/>
      <x:sz val="15"/>
      <x:color rgb="FFFFFFFF"/>
      <x:name val="Aptos Display"/>
    </x:font>
    <x:font>
      <x:i/>
      <x:sz val="9"/>
      <x:color rgb="FF34495E"/>
      <x:name val="Aptos"/>
    </x:font>
    <x:font>
      <x:b/>
      <x:sz val="11"/>
      <x:color rgb="FFFFFFFF"/>
      <x:name val="Aptos"/>
    </x:font>
    <x:font>
      <x:sz val="9"/>
      <x:color rgb="FF273444"/>
      <x:name val="Aptos"/>
    </x:font>
    <x:font>
      <x:b/>
      <x:sz val="11"/>
      <x:color rgb="FF244B2A"/>
      <x:name val="Aptos"/>
    </x:font>
  </x:fonts>
  <x:fills count="40">
    <x:fill>
      <x:patternFill patternType="none"/>
    </x:fill>
    <x:fill>
      <x:patternFill patternType="gray125"/>
    </x:fill>
    <x:fill>
      <x:patternFill patternType="solid">
        <x:fgColor rgb="FF85200C"/>
      </x:patternFill>
    </x:fill>
    <x:fill>
      <x:patternFill patternType="solid">
        <x:fgColor rgb="FFD9D9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FFFFF"/>
      </x:patternFill>
    </x:fill>
    <x:fill>
      <x:patternFill patternType="solid">
        <x:fgColor rgb="FF18324A"/>
      </x:patternFill>
    </x:fill>
    <x:fill>
      <x:patternFill patternType="solid">
        <x:fgColor rgb="FFE8F0F7"/>
      </x:patternFill>
    </x:fill>
    <x:fill>
      <x:patternFill patternType="solid">
        <x:fgColor rgb="FF2F5D7C"/>
      </x:patternFill>
    </x:fill>
    <x:fill>
      <x:patternFill patternType="solid">
        <x:fgColor rgb="FFEAF3EA"/>
      </x:patternFill>
    </x:fill>
  </x:fills>
  <x:borders count="26">
    <x:border/>
    <x:border>
      <x:left style="medium">
        <x:color rgb="FF999999"/>
      </x:left>
      <x:top style="medium">
        <x:color rgb="FF999999"/>
      </x:top>
    </x:border>
    <x:border>
      <x:right style="medium">
        <x:color rgb="FF999999"/>
      </x:right>
      <x:top style="medium">
        <x:color rgb="FF999999"/>
      </x:top>
    </x:border>
    <x:border>
      <x:left style="medium">
        <x:color rgb="FF999999"/>
      </x:left>
      <x:bottom style="medium">
        <x:color rgb="FF999999"/>
      </x:bottom>
    </x:border>
    <x:border>
      <x:right style="medium">
        <x:color rgb="FF999999"/>
      </x:right>
      <x:bottom style="medium">
        <x:color rgb="FF999999"/>
      </x:bottom>
    </x:border>
    <x:border>
      <x:left style="medium">
        <x:color rgb="FF999999"/>
      </x:left>
      <x:right style="medium">
        <x:color rgb="FF999999"/>
      </x:right>
      <x:bottom style="medium">
        <x:color rgb="FF999999"/>
      </x:bottom>
    </x:border>
    <x:border>
      <x:right style="medium">
        <x:color rgb="FF999999"/>
      </x:right>
      <x:top style="medium">
        <x:color rgb="FF999999"/>
      </x:top>
      <x:bottom style="medium">
        <x:color rgb="FF999999"/>
      </x:bottom>
    </x:border>
    <x:border>
      <x:left style="medium">
        <x:color rgb="FF999999"/>
      </x:left>
      <x:right style="medium">
        <x:color rgb="FF999999"/>
      </x:right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right style="medium">
        <x:color rgb="FF999999"/>
      </x:right>
    </x:border>
    <x:border>
      <x:left style="thin">
        <x:color rgb="FF9FB5C4"/>
      </x:left>
      <x:top style="thin">
        <x:color rgb="FF9FB5C4"/>
      </x:top>
      <x:bottom style="thin">
        <x:color rgb="FF9FB5C4"/>
      </x:bottom>
    </x:border>
    <x:border>
      <x:top style="thin">
        <x:color rgb="FF9FB5C4"/>
      </x:top>
      <x:bottom style="thin">
        <x:color rgb="FF9FB5C4"/>
      </x:bottom>
    </x:border>
    <x:border>
      <x:right style="thin">
        <x:color rgb="FF9FB5C4"/>
      </x:right>
      <x:top style="thin">
        <x:color rgb="FF9FB5C4"/>
      </x:top>
      <x:bottom style="thin">
        <x:color rgb="FF9FB5C4"/>
      </x:bottom>
    </x:border>
    <x:border>
      <x:bottom style="thin">
        <x:color rgb="FFD7E0E7"/>
      </x:bottom>
    </x:border>
    <x:border>
      <x:top style="thin">
        <x:color rgb="FFD7E0E7"/>
      </x:top>
      <x:bottom style="thin">
        <x:color rgb="FFD7E0E7"/>
      </x:bottom>
    </x:border>
    <x:border>
      <x:top style="thin">
        <x:color rgb="FFD7E0E7"/>
      </x:top>
    </x:border>
    <x:border>
      <x:left style="thin">
        <x:color rgb="FF9BB89F"/>
      </x:left>
      <x:top style="thin">
        <x:color rgb="FF9BB89F"/>
      </x:top>
      <x:bottom style="thin">
        <x:color rgb="FF9BB89F"/>
      </x:bottom>
    </x:border>
    <x:border>
      <x:top style="thin">
        <x:color rgb="FF9BB89F"/>
      </x:top>
      <x:bottom style="thin">
        <x:color rgb="FF9BB89F"/>
      </x:bottom>
    </x:border>
    <x:border>
      <x:right style="thin">
        <x:color rgb="FF9BB89F"/>
      </x:right>
      <x:top style="thin">
        <x:color rgb="FF9BB89F"/>
      </x:top>
      <x:bottom style="thin">
        <x:color rgb="FF9BB89F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0" fillId="4" borderId="8" applyNumberFormat="0" applyFont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0" borderId="10" applyNumberFormat="0" applyFill="0" applyAlignment="0" applyProtection="0">
      <x:alignment vertical="center"/>
    </x:xf>
    <x:xf numFmtId="0" fontId="20" fillId="0" borderId="0" applyNumberFormat="0" applyFill="0" applyBorder="0" applyAlignment="0" applyProtection="0">
      <x:alignment vertical="center"/>
    </x:xf>
    <x:xf numFmtId="0" fontId="21" fillId="5" borderId="11" applyNumberFormat="0" applyAlignment="0" applyProtection="0">
      <x:alignment vertical="center"/>
    </x:xf>
    <x:xf numFmtId="0" fontId="22" fillId="6" borderId="12" applyNumberFormat="0" applyAlignment="0" applyProtection="0">
      <x:alignment vertical="center"/>
    </x:xf>
    <x:xf numFmtId="0" fontId="23" fillId="6" borderId="11" applyNumberFormat="0" applyAlignment="0" applyProtection="0">
      <x:alignment vertical="center"/>
    </x:xf>
    <x:xf numFmtId="0" fontId="24" fillId="7" borderId="13" applyNumberFormat="0" applyAlignment="0" applyProtection="0">
      <x:alignment vertical="center"/>
    </x:xf>
    <x:xf numFmtId="0" fontId="25" fillId="0" borderId="14" applyNumberFormat="0" applyFill="0" applyAlignment="0" applyProtection="0">
      <x:alignment vertical="center"/>
    </x:xf>
    <x:xf numFmtId="0" fontId="26" fillId="0" borderId="15" applyNumberFormat="0" applyFill="0" applyAlignment="0" applyProtection="0">
      <x:alignment vertical="center"/>
    </x:xf>
    <x:xf numFmtId="0" fontId="27" fillId="8" borderId="0" applyNumberFormat="0" applyBorder="0" applyAlignment="0" applyProtection="0">
      <x:alignment vertical="center"/>
    </x:xf>
    <x:xf numFmtId="0" fontId="28" fillId="9" borderId="0" applyNumberFormat="0" applyBorder="0" applyAlignment="0" applyProtection="0">
      <x:alignment vertical="center"/>
    </x:xf>
    <x:xf numFmtId="0" fontId="29" fillId="10" borderId="0" applyNumberFormat="0" applyBorder="0" applyAlignment="0" applyProtection="0">
      <x:alignment vertical="center"/>
    </x:xf>
    <x:xf numFmtId="0" fontId="30" fillId="11" borderId="0" applyNumberFormat="0" applyBorder="0" applyAlignment="0" applyProtection="0">
      <x:alignment vertical="center"/>
    </x:xf>
    <x:xf numFmtId="0" fontId="31" fillId="12" borderId="0" applyNumberFormat="0" applyBorder="0" applyAlignment="0" applyProtection="0">
      <x:alignment vertical="center"/>
    </x:xf>
    <x:xf numFmtId="0" fontId="31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0" fillId="15" borderId="0" applyNumberFormat="0" applyBorder="0" applyAlignment="0" applyProtection="0">
      <x:alignment vertical="center"/>
    </x:xf>
    <x:xf numFmtId="0" fontId="31" fillId="16" borderId="0" applyNumberFormat="0" applyBorder="0" applyAlignment="0" applyProtection="0">
      <x:alignment vertical="center"/>
    </x:xf>
    <x:xf numFmtId="0" fontId="31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30" fillId="19" borderId="0" applyNumberFormat="0" applyBorder="0" applyAlignment="0" applyProtection="0">
      <x:alignment vertical="center"/>
    </x:xf>
    <x:xf numFmtId="0" fontId="31" fillId="20" borderId="0" applyNumberFormat="0" applyBorder="0" applyAlignment="0" applyProtection="0">
      <x:alignment vertical="center"/>
    </x:xf>
    <x:xf numFmtId="0" fontId="31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30" fillId="23" borderId="0" applyNumberFormat="0" applyBorder="0" applyAlignment="0" applyProtection="0">
      <x:alignment vertical="center"/>
    </x:xf>
    <x:xf numFmtId="0" fontId="31" fillId="24" borderId="0" applyNumberFormat="0" applyBorder="0" applyAlignment="0" applyProtection="0">
      <x:alignment vertical="center"/>
    </x:xf>
    <x:xf numFmtId="0" fontId="31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30" fillId="27" borderId="0" applyNumberFormat="0" applyBorder="0" applyAlignment="0" applyProtection="0">
      <x:alignment vertical="center"/>
    </x:xf>
    <x:xf numFmtId="0" fontId="31" fillId="28" borderId="0" applyNumberFormat="0" applyBorder="0" applyAlignment="0" applyProtection="0">
      <x:alignment vertical="center"/>
    </x:xf>
    <x:xf numFmtId="0" fontId="31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30" fillId="31" borderId="0" applyNumberFormat="0" applyBorder="0" applyAlignment="0" applyProtection="0">
      <x:alignment vertical="center"/>
    </x:xf>
    <x:xf numFmtId="0" fontId="31" fillId="32" borderId="0" applyNumberFormat="0" applyBorder="0" applyAlignment="0" applyProtection="0">
      <x:alignment vertical="center"/>
    </x:xf>
    <x:xf numFmtId="0" fontId="31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</x:cellStyleXfs>
  <x:cellXfs count="120">
    <x:xf numFmtId="0" fontId="0" fillId="0" borderId="0" xfId="0">
      <x:alignment vertical="center"/>
    </x:xf>
    <x:xf numFmtId="0" fontId="1" fillId="2" borderId="1" xfId="0" applyFont="1" applyFill="1" applyBorder="1" applyAlignment="1">
      <x:alignment horizontal="center" vertical="top" wrapText="1"/>
    </x:xf>
    <x:xf numFmtId="0" fontId="1" fillId="2" borderId="2" xfId="0" applyFont="1" applyFill="1" applyBorder="1" applyAlignment="1">
      <x:alignment horizontal="center"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3" borderId="5" xfId="0" applyFont="1" applyFill="1" applyBorder="1" applyAlignment="1">
      <x:alignment vertical="top" wrapText="1"/>
    </x:xf>
    <x:xf numFmtId="0" fontId="3" fillId="3" borderId="6" xfId="0" applyFont="1" applyFill="1" applyBorder="1" applyAlignment="1">
      <x:alignment vertical="top" wrapText="1"/>
    </x:xf>
    <x:xf numFmtId="0" fontId="4" fillId="0" borderId="7" xfId="0" applyFont="1" applyBorder="1" applyAlignment="1">
      <x:alignment vertical="top" wrapText="1"/>
    </x:xf>
    <x:xf numFmtId="0" fontId="5" fillId="0" borderId="4" xfId="0" applyFont="1" applyBorder="1" applyAlignment="1">
      <x:alignment horizontal="center" vertical="top" wrapText="1"/>
    </x:xf>
    <x:xf numFmtId="0" fontId="6" fillId="0" borderId="5" xfId="0" applyFont="1" applyBorder="1" applyAlignment="1">
      <x:alignment vertical="top" wrapText="1"/>
    </x:xf>
    <x:xf numFmtId="0" fontId="7" fillId="0" borderId="4" xfId="0" applyFont="1" applyBorder="1" applyAlignment="1">
      <x:alignment horizontal="center" vertical="top" wrapText="1"/>
    </x:xf>
    <x:xf numFmtId="0" fontId="8" fillId="0" borderId="4" xfId="0" applyFont="1" applyBorder="1" applyAlignment="1">
      <x:alignment horizontal="center" vertical="top" wrapText="1"/>
    </x:xf>
    <x:xf numFmtId="0" fontId="6" fillId="0" borderId="7" xfId="0" applyFont="1" applyBorder="1" applyAlignment="1">
      <x:alignment vertical="top" wrapText="1"/>
    </x:xf>
    <x:xf numFmtId="0" fontId="9" fillId="0" borderId="5" xfId="0" applyFont="1" applyBorder="1" applyAlignment="1">
      <x:alignment vertical="top" wrapText="1"/>
    </x:xf>
    <x:xf numFmtId="0" fontId="10" fillId="0" borderId="5" xfId="0" applyFont="1" applyBorder="1" applyAlignment="1">
      <x:alignment vertical="top" wrapText="1"/>
    </x:xf>
    <x:xf numFmtId="0" fontId="11" fillId="0" borderId="4" xfId="0" applyFont="1" applyBorder="1" applyAlignment="1">
      <x:alignment horizontal="center" vertical="top" wrapText="1"/>
    </x:xf>
    <x:xf numFmtId="0" fontId="12" fillId="0" borderId="5" xfId="0" applyFont="1" applyBorder="1" applyAlignment="1">
      <x:alignment vertical="top" wrapText="1"/>
    </x:xf>
    <x:xf numFmtId="0" fontId="0" fillId="0" borderId="4" xfId="0" applyBorder="1">
      <x:alignment vertical="center"/>
    </x:xf>
    <x:xf numFmtId="0" fontId="6" fillId="35" borderId="5" xfId="0" applyNumberFormat="1" applyFont="1" applyFill="1" applyBorder="1" applyAlignment="1">
      <x:alignment vertical="top" wrapText="1"/>
    </x:xf>
    <x:xf numFmtId="0" fontId="33" fillId="35" borderId="5" xfId="0" applyNumberFormat="1" applyFont="1" applyFill="1" applyBorder="1" applyAlignment="1">
      <x:alignment vertical="top" wrapText="1"/>
    </x:xf>
    <x:xf numFmtId="0" fontId="34" fillId="35" borderId="5" xfId="0" applyNumberFormat="1" applyFont="1" applyFill="1" applyBorder="1" applyAlignment="1">
      <x:alignment vertical="top" wrapText="1"/>
    </x:xf>
    <x:xf numFmtId="0" fontId="35" fillId="35" borderId="5" xfId="0" applyNumberFormat="1" applyFont="1" applyFill="1" applyBorder="1" applyAlignment="1">
      <x:alignment vertical="top" wrapText="1"/>
    </x:xf>
    <x:xf numFmtId="0" fontId="0" fillId="35" borderId="5" xfId="0" applyNumberFormat="1" applyFont="1" applyFill="1" applyBorder="1" applyAlignment="1">
      <x:alignment vertical="top" wrapText="1"/>
    </x:xf>
    <x:xf numFmtId="0" fontId="36" fillId="35" borderId="5" xfId="0" applyNumberFormat="1" applyFont="1" applyFill="1" applyBorder="1" applyAlignment="1">
      <x:alignment vertical="top" wrapText="1"/>
    </x:xf>
    <x:xf numFmtId="0" fontId="37" fillId="35" borderId="5" xfId="0" applyNumberFormat="1" applyFont="1" applyFill="1" applyBorder="1" applyAlignment="1">
      <x:alignment vertical="top" wrapText="1"/>
    </x:xf>
    <x:xf numFmtId="0" fontId="38" fillId="35" borderId="5" xfId="0" applyNumberFormat="1" applyFont="1" applyFill="1" applyBorder="1" applyAlignment="1">
      <x:alignment vertical="top" wrapText="1"/>
    </x:xf>
    <x:xf numFmtId="0" fontId="39" fillId="35" borderId="5" xfId="0" applyNumberFormat="1" applyFont="1" applyFill="1" applyBorder="1" applyAlignment="1">
      <x:alignment vertical="top" wrapText="1"/>
    </x:xf>
    <x:xf numFmtId="0" fontId="40" fillId="35" borderId="5" xfId="0" applyNumberFormat="1" applyFont="1" applyFill="1" applyBorder="1" applyAlignment="1">
      <x:alignment vertical="top" wrapText="1"/>
    </x:xf>
    <x:xf numFmtId="0" fontId="11" fillId="35" borderId="4" xfId="0" applyNumberFormat="1" applyFont="1" applyFill="1" applyBorder="1" applyAlignment="1">
      <x:alignment horizontal="center" vertical="top" wrapText="1"/>
    </x:xf>
    <x:xf numFmtId="0" fontId="0" fillId="35" borderId="4" xfId="0" applyNumberFormat="1" applyFont="1" applyFill="1" applyBorder="1" applyAlignment="1">
      <x:alignment vertical="center"/>
    </x:xf>
    <x:xf numFmtId="0" fontId="41" fillId="35" borderId="4" xfId="0" applyNumberFormat="1" applyFont="1" applyFill="1" applyBorder="1" applyAlignment="1">
      <x:alignment horizontal="center" vertical="top" wrapText="1"/>
    </x:xf>
    <x:xf numFmtId="0" fontId="26" fillId="35" borderId="4" xfId="0" applyNumberFormat="1" applyFont="1" applyFill="1" applyBorder="1" applyAlignment="1">
      <x:alignment vertical="center"/>
    </x:xf>
    <x:xf numFmtId="0" fontId="42" fillId="35" borderId="4" xfId="0" applyNumberFormat="1" applyFont="1" applyFill="1" applyBorder="1" applyAlignment="1">
      <x:alignment horizontal="center" vertical="top" wrapText="1"/>
    </x:xf>
    <x:xf numFmtId="0" fontId="43" fillId="35" borderId="4" xfId="0" applyNumberFormat="1" applyFont="1" applyFill="1" applyBorder="1" applyAlignment="1">
      <x:alignment vertical="center"/>
    </x:xf>
    <x:xf numFmtId="0" fontId="44" fillId="35" borderId="4" xfId="0" applyNumberFormat="1" applyFont="1" applyFill="1" applyBorder="1" applyAlignment="1">
      <x:alignment horizontal="center" vertical="top" wrapText="1"/>
    </x:xf>
    <x:xf numFmtId="0" fontId="45" fillId="35" borderId="4" xfId="0" applyNumberFormat="1" applyFont="1" applyFill="1" applyBorder="1" applyAlignment="1">
      <x:alignment vertical="center"/>
    </x:xf>
    <x:xf numFmtId="0" fontId="46" fillId="35" borderId="4" xfId="0" applyNumberFormat="1" applyFont="1" applyFill="1" applyBorder="1" applyAlignment="1">
      <x:alignment horizontal="center" vertical="top" wrapText="1"/>
    </x:xf>
    <x:xf numFmtId="0" fontId="47" fillId="35" borderId="4" xfId="0" applyNumberFormat="1" applyFont="1" applyFill="1" applyBorder="1" applyAlignment="1">
      <x:alignment vertical="center"/>
    </x:xf>
    <x:xf numFmtId="0" fontId="47" fillId="35" borderId="4" xfId="0" applyNumberFormat="1" applyFont="1" applyFill="1" applyBorder="1" applyAlignment="1">
      <x:alignment vertical="center" wrapText="1"/>
    </x:xf>
    <x:xf numFmtId="0" fontId="47" fillId="35" borderId="4" xfId="0" applyNumberFormat="1" applyFont="1" applyFill="1" applyBorder="1" applyAlignment="1">
      <x:alignment horizontal="center" vertical="center" wrapText="1"/>
    </x:xf>
    <x:xf numFmtId="0" fontId="0" fillId="35" borderId="0" xfId="0" applyNumberFormat="1" applyFont="1" applyFill="1" applyBorder="1" applyAlignment="1">
      <x:alignment vertical="center"/>
    </x:xf>
    <x:xf numFmtId="0" fontId="26" fillId="35" borderId="0" xfId="0" applyNumberFormat="1" applyFont="1" applyFill="1" applyBorder="1" applyAlignment="1">
      <x:alignment vertical="center"/>
    </x:xf>
    <x:xf numFmtId="0" fontId="43" fillId="35" borderId="0" xfId="0" applyNumberFormat="1" applyFont="1" applyFill="1" applyBorder="1" applyAlignment="1">
      <x:alignment vertical="center"/>
    </x:xf>
    <x:xf numFmtId="0" fontId="48" fillId="35" borderId="0" xfId="0" applyNumberFormat="1" applyFont="1" applyFill="1" applyBorder="1" applyAlignment="1">
      <x:alignment vertical="center"/>
    </x:xf>
    <x:xf numFmtId="0" fontId="49" fillId="35" borderId="0" xfId="0" applyNumberFormat="1" applyFont="1" applyFill="1" applyBorder="1" applyAlignment="1">
      <x:alignment vertical="center"/>
    </x:xf>
    <x:xf numFmtId="0" fontId="35" fillId="35" borderId="0" xfId="0" applyNumberFormat="1" applyFont="1" applyFill="1" applyBorder="1" applyAlignment="1">
      <x:alignment vertical="center"/>
    </x:xf>
    <x:xf numFmtId="0" fontId="35" fillId="35" borderId="7" xfId="0" applyNumberFormat="1" applyFont="1" applyFill="1" applyBorder="1" applyAlignment="1">
      <x:alignment vertical="center"/>
    </x:xf>
    <x:xf numFmtId="0" fontId="35" fillId="35" borderId="7" xfId="0" applyNumberFormat="1" applyFont="1" applyFill="1" applyBorder="1" applyAlignment="1">
      <x:alignment vertical="center" wrapText="1"/>
    </x:xf>
    <x:xf numFmtId="0" fontId="36" fillId="35" borderId="0" xfId="0" applyNumberFormat="1" applyFont="1" applyFill="1" applyBorder="1" applyAlignment="1">
      <x:alignment vertical="center"/>
    </x:xf>
    <x:xf numFmtId="0" fontId="37" fillId="35" borderId="0" xfId="0" applyNumberFormat="1" applyFont="1" applyFill="1" applyBorder="1" applyAlignment="1">
      <x:alignment vertical="center"/>
    </x:xf>
    <x:xf numFmtId="0" fontId="38" fillId="35" borderId="0" xfId="0" applyNumberFormat="1" applyFont="1" applyFill="1" applyBorder="1" applyAlignment="1">
      <x:alignment vertical="center"/>
    </x:xf>
    <x:xf numFmtId="0" fontId="39" fillId="35" borderId="0" xfId="0" applyNumberFormat="1" applyFont="1" applyFill="1" applyBorder="1" applyAlignment="1">
      <x:alignment vertical="center"/>
    </x:xf>
    <x:xf numFmtId="0" fontId="40" fillId="35" borderId="0" xfId="0" applyNumberFormat="1" applyFont="1" applyFill="1" applyBorder="1" applyAlignment="1">
      <x:alignment vertical="center"/>
    </x:xf>
    <x:xf numFmtId="0" fontId="40" fillId="35" borderId="5" xfId="0" applyNumberFormat="1" applyFont="1" applyFill="1" applyBorder="1" applyAlignment="1">
      <x:alignment vertical="center"/>
    </x:xf>
    <x:xf numFmtId="0" fontId="40" fillId="35" borderId="5" xfId="0" applyNumberFormat="1" applyFont="1" applyFill="1" applyBorder="1" applyAlignment="1">
      <x:alignment vertical="center" wrapText="1"/>
    </x:xf>
    <x:xf numFmtId="0" fontId="45" fillId="35" borderId="0" xfId="0" applyNumberFormat="1" applyFont="1" applyFill="1" applyBorder="1" applyAlignment="1">
      <x:alignment vertical="center"/>
    </x:xf>
    <x:xf numFmtId="0" fontId="47" fillId="35" borderId="0" xfId="0" applyNumberFormat="1" applyFont="1" applyFill="1" applyBorder="1" applyAlignment="1">
      <x:alignment vertical="center"/>
    </x:xf>
    <x:xf numFmtId="0" fontId="47" fillId="35" borderId="16" xfId="0" applyNumberFormat="1" applyFont="1" applyFill="1" applyBorder="1" applyAlignment="1">
      <x:alignment vertical="center"/>
    </x:xf>
    <x:xf numFmtId="0" fontId="47" fillId="35" borderId="16" xfId="0" applyNumberFormat="1" applyFont="1" applyFill="1" applyBorder="1" applyAlignment="1">
      <x:alignment vertical="center" wrapText="1"/>
    </x:xf>
    <x:xf numFmtId="0" fontId="47" fillId="35" borderId="16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0" fillId="0" borderId="4" xfId="0" applyNumberFormat="1" applyFont="1" applyFill="1" applyBorder="1" applyAlignment="1">
      <x:alignment horizontal="center" vertical="top" wrapText="1"/>
    </x:xf>
    <x:xf numFmtId="0" fontId="7" fillId="0" borderId="4" xfId="0" applyNumberFormat="1" applyFont="1" applyFill="1" applyBorder="1" applyAlignment="1">
      <x:alignment horizontal="center" vertical="top" wrapText="1"/>
    </x:xf>
    <x:xf numFmtId="0" fontId="51" fillId="0" borderId="4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horizontal="center" vertical="top" wrapText="1"/>
    </x:xf>
    <x:xf numFmtId="0" fontId="46" fillId="0" borderId="4" xfId="0" applyNumberFormat="1" applyFont="1" applyFill="1" applyBorder="1" applyAlignment="1">
      <x:alignment horizontal="center" vertical="top" wrapText="1"/>
    </x:xf>
    <x:xf numFmtId="0" fontId="50" fillId="35" borderId="4" xfId="0" applyNumberFormat="1" applyFont="1" applyFill="1" applyBorder="1" applyAlignment="1">
      <x:alignment horizontal="center" vertical="top" wrapText="1"/>
    </x:xf>
    <x:xf numFmtId="0" fontId="46" fillId="35" borderId="16" xfId="0" applyNumberFormat="1" applyFont="1" applyFill="1" applyBorder="1" applyAlignment="1">
      <x:alignment horizontal="center" vertical="center" wrapText="1"/>
    </x:xf>
    <x:xf numFmtId="0" fontId="7" fillId="35" borderId="4" xfId="0" applyNumberFormat="1" applyFont="1" applyFill="1" applyBorder="1" applyAlignment="1">
      <x:alignment horizontal="center" vertical="top" wrapText="1"/>
    </x:xf>
    <x:xf numFmtId="0" fontId="8" fillId="35" borderId="16" xfId="0" applyNumberFormat="1" applyFont="1" applyFill="1" applyBorder="1" applyAlignment="1">
      <x:alignment horizontal="center" vertical="center" wrapText="1"/>
    </x:xf>
    <x:xf numFmtId="0" fontId="0" fillId="36" borderId="0" xfId="0" applyNumberFormat="1" applyFont="1" applyFill="1" applyBorder="1" applyAlignment="1">
      <x:alignment vertical="center"/>
    </x:xf>
    <x:xf numFmtId="0" fontId="52" fillId="36" borderId="0" xfId="0" applyNumberFormat="1" applyFont="1" applyFill="1" applyBorder="1" applyAlignment="1">
      <x:alignment vertical="center"/>
    </x:xf>
    <x:xf numFmtId="0" fontId="52" fillId="36" borderId="0" xfId="0" applyNumberFormat="1" applyFont="1" applyFill="1" applyBorder="1" applyAlignment="1">
      <x:alignment horizontal="left" vertical="center"/>
    </x:xf>
    <x:xf numFmtId="0" fontId="0" fillId="37" borderId="0" xfId="0" applyNumberFormat="1" applyFont="1" applyFill="1" applyBorder="1" applyAlignment="1">
      <x:alignment vertical="center"/>
    </x:xf>
    <x:xf numFmtId="0" fontId="53" fillId="37" borderId="0" xfId="0" applyNumberFormat="1" applyFont="1" applyFill="1" applyBorder="1" applyAlignment="1">
      <x:alignment vertical="center"/>
    </x:xf>
    <x:xf numFmtId="0" fontId="5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/>
    </x:xf>
    <x:xf numFmtId="0" fontId="54" fillId="38" borderId="0" xfId="0" applyNumberFormat="1" applyFont="1" applyFill="1" applyBorder="1" applyAlignment="1">
      <x:alignment vertical="center"/>
    </x:xf>
    <x:xf numFmtId="0" fontId="54" fillId="38" borderId="17" xfId="0" applyNumberFormat="1" applyFont="1" applyFill="1" applyBorder="1" applyAlignment="1">
      <x:alignment vertical="center"/>
    </x:xf>
    <x:xf numFmtId="0" fontId="54" fillId="38" borderId="18" xfId="0" applyNumberFormat="1" applyFont="1" applyFill="1" applyBorder="1" applyAlignment="1">
      <x:alignment vertical="center"/>
    </x:xf>
    <x:xf numFmtId="0" fontId="54" fillId="38" borderId="19" xfId="0" applyNumberFormat="1" applyFont="1" applyFill="1" applyBorder="1" applyAlignment="1">
      <x:alignment vertical="center"/>
    </x:xf>
    <x:xf numFmtId="0" fontId="55" fillId="0" borderId="0" xfId="0" applyNumberFormat="1" applyFont="1" applyFill="1" applyBorder="1" applyAlignment="1">
      <x:alignment vertical="center"/>
    </x:xf>
    <x:xf numFmtId="0" fontId="55" fillId="0" borderId="20" xfId="0" applyNumberFormat="1" applyFont="1" applyFill="1" applyBorder="1" applyAlignment="1">
      <x:alignment vertical="center"/>
    </x:xf>
    <x:xf numFmtId="0" fontId="55" fillId="0" borderId="21" xfId="0" applyNumberFormat="1" applyFont="1" applyFill="1" applyBorder="1" applyAlignment="1">
      <x:alignment vertical="center"/>
    </x:xf>
    <x:xf numFmtId="0" fontId="55" fillId="0" borderId="22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 applyAlignment="1">
      <x:alignment vertical="center"/>
    </x:xf>
    <x:xf numFmtId="0" fontId="56" fillId="39" borderId="0" xfId="0" applyNumberFormat="1" applyFont="1" applyFill="1" applyBorder="1" applyAlignment="1">
      <x:alignment vertical="center"/>
    </x:xf>
    <x:xf numFmtId="0" fontId="56" fillId="39" borderId="23" xfId="0" applyNumberFormat="1" applyFont="1" applyFill="1" applyBorder="1" applyAlignment="1">
      <x:alignment vertical="center"/>
    </x:xf>
    <x:xf numFmtId="0" fontId="56" fillId="39" borderId="24" xfId="0" applyNumberFormat="1" applyFont="1" applyFill="1" applyBorder="1" applyAlignment="1">
      <x:alignment vertical="center"/>
    </x:xf>
    <x:xf numFmtId="0" fontId="56" fillId="39" borderId="25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 applyAlignment="1">
      <x:alignment vertical="center"/>
    </x:xf>
    <x:xf numFmtId="0" fontId="0" fillId="0" borderId="2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 applyAlignment="1">
      <x:alignment vertical="center"/>
    </x:xf>
    <x:xf numFmtId="200" fontId="55" fillId="0" borderId="20" xfId="0" applyNumberFormat="1" applyFont="1" applyFill="1" applyBorder="1" applyAlignment="1">
      <x:alignment vertical="center"/>
    </x:xf>
    <x:xf numFmtId="200" fontId="55" fillId="0" borderId="21" xfId="0" applyNumberFormat="1" applyFont="1" applyFill="1" applyBorder="1" applyAlignment="1">
      <x:alignment vertical="center"/>
    </x:xf>
    <x:xf numFmtId="200" fontId="55" fillId="0" borderId="22" xfId="0" applyNumberFormat="1" applyFont="1" applyFill="1" applyBorder="1" applyAlignment="1">
      <x:alignment vertical="center"/>
    </x:xf>
    <x:xf numFmtId="201" fontId="55" fillId="0" borderId="20" xfId="0" applyNumberFormat="1" applyFont="1" applyFill="1" applyBorder="1" applyAlignment="1">
      <x:alignment vertical="center"/>
    </x:xf>
    <x:xf numFmtId="201" fontId="55" fillId="0" borderId="21" xfId="0" applyNumberFormat="1" applyFont="1" applyFill="1" applyBorder="1" applyAlignment="1">
      <x:alignment vertical="center"/>
    </x:xf>
    <x:xf numFmtId="201" fontId="55" fillId="0" borderId="22" xfId="0" applyNumberFormat="1" applyFont="1" applyFill="1" applyBorder="1" applyAlignment="1">
      <x:alignment vertical="center"/>
    </x:xf>
    <x:xf numFmtId="200" fontId="56" fillId="39" borderId="25" xfId="0" applyNumberFormat="1" applyFont="1" applyFill="1" applyBorder="1" applyAlignment="1">
      <x:alignment vertical="center"/>
    </x:xf>
    <x:xf numFmtId="0" fontId="54" fillId="38" borderId="17" xfId="0" applyNumberFormat="1" applyFont="1" applyFill="1" applyBorder="1" applyAlignment="1">
      <x:alignment vertical="center" wrapText="1"/>
    </x:xf>
    <x:xf numFmtId="0" fontId="54" fillId="38" borderId="18" xfId="0" applyNumberFormat="1" applyFont="1" applyFill="1" applyBorder="1" applyAlignment="1">
      <x:alignment vertical="center" wrapText="1"/>
    </x:xf>
    <x:xf numFmtId="0" fontId="54" fillId="38" borderId="19" xfId="0" applyNumberFormat="1" applyFont="1" applyFill="1" applyBorder="1" applyAlignment="1">
      <x:alignment vertical="center" wrapText="1"/>
    </x:xf>
    <x:xf numFmtId="0" fontId="55" fillId="0" borderId="20" xfId="0" applyNumberFormat="1" applyFont="1" applyFill="1" applyBorder="1" applyAlignment="1">
      <x:alignment vertical="center" wrapText="1"/>
    </x:xf>
    <x:xf numFmtId="200" fontId="55" fillId="0" borderId="20" xfId="0" applyNumberFormat="1" applyFont="1" applyFill="1" applyBorder="1" applyAlignment="1">
      <x:alignment vertical="center" wrapText="1"/>
    </x:xf>
    <x:xf numFmtId="201" fontId="55" fillId="0" borderId="20" xfId="0" applyNumberFormat="1" applyFont="1" applyFill="1" applyBorder="1" applyAlignment="1">
      <x:alignment vertical="center" wrapText="1"/>
    </x:xf>
    <x:xf numFmtId="0" fontId="55" fillId="0" borderId="21" xfId="0" applyNumberFormat="1" applyFont="1" applyFill="1" applyBorder="1" applyAlignment="1">
      <x:alignment vertical="center" wrapText="1"/>
    </x:xf>
    <x:xf numFmtId="200" fontId="55" fillId="0" borderId="21" xfId="0" applyNumberFormat="1" applyFont="1" applyFill="1" applyBorder="1" applyAlignment="1">
      <x:alignment vertical="center" wrapText="1"/>
    </x:xf>
    <x:xf numFmtId="201" fontId="55" fillId="0" borderId="21" xfId="0" applyNumberFormat="1" applyFont="1" applyFill="1" applyBorder="1" applyAlignment="1">
      <x:alignment vertical="center" wrapText="1"/>
    </x:xf>
    <x:xf numFmtId="0" fontId="55" fillId="0" borderId="22" xfId="0" applyNumberFormat="1" applyFont="1" applyFill="1" applyBorder="1" applyAlignment="1">
      <x:alignment vertical="center" wrapText="1"/>
    </x:xf>
    <x:xf numFmtId="200" fontId="55" fillId="0" borderId="22" xfId="0" applyNumberFormat="1" applyFont="1" applyFill="1" applyBorder="1" applyAlignment="1">
      <x:alignment vertical="center" wrapText="1"/>
    </x:xf>
    <x:xf numFmtId="201" fontId="55" fillId="0" borderId="22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56" fillId="39" borderId="23" xfId="0" applyNumberFormat="1" applyFont="1" applyFill="1" applyBorder="1" applyAlignment="1">
      <x:alignment vertical="center" wrapText="1"/>
    </x:xf>
    <x:xf numFmtId="0" fontId="56" fillId="39" borderId="24" xfId="0" applyNumberFormat="1" applyFont="1" applyFill="1" applyBorder="1" applyAlignment="1">
      <x:alignment vertical="center" wrapText="1"/>
    </x:xf>
    <x:xf numFmtId="200" fontId="56" fillId="39" borderId="25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5" fillId="35" borderId="16" xfId="0" applyNumberFormat="1" applyFont="1" applyFill="1" applyBorder="1" applyAlignment="1">
      <x:alignment horizontal="center"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f7b9b518a34ffa" /><Relationship Type="http://schemas.openxmlformats.org/officeDocument/2006/relationships/theme" Target="/xl/theme/theme1.xml" Id="Rd453bb23b3fc4129" /><Relationship Type="http://schemas.openxmlformats.org/officeDocument/2006/relationships/sharedStrings" Target="/xl/sharedStrings.xml" Id="R8f5f74558f264b59" /><Relationship Type="http://schemas.openxmlformats.org/officeDocument/2006/relationships/worksheet" Target="/xl/worksheets/sheet1.xml" Id="R35c2b6d0876944cc" /><Relationship Type="http://schemas.openxmlformats.org/officeDocument/2006/relationships/worksheet" Target="/xl/worksheets/sheet2.xml" Id="R83e9d75302bf4136" /><Relationship Type="http://schemas.microsoft.com/office/2017/10/relationships/person" Target="/xl/persons/person.xml" Id="Ra31dd78cfaa44758" /></Relationships>
</file>

<file path=xl/persons/person.xml><?xml version="1.0" encoding="utf-8"?>
<xltc:personList xmlns:xltc="http://schemas.microsoft.com/office/spreadsheetml/2018/threadedcomments">
  <xltc:person displayName="User" id="{CD203006-1D62-4DA4-9446-416593376679}"/>
  <xltc:person displayName="User" id="{7448397A-E736-40BB-AB94-F2D0F079FBFF}"/>
</xltc:personList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2" dT="2026-07-23T07:04:54.708" personId="{CD203006-1D62-4DA4-9446-416593376679}" id="{8C02F7B0-B0A4-B42D-CA20-3A044FBE6DE0}">
    <xltc:text>Bilibili counts comments; Heybox counts public-search-visible posts. These units are not a platform-wide cross-platform total.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8385ab3c73b4976" /><Relationship Type="http://schemas.openxmlformats.org/officeDocument/2006/relationships/vmlDrawing" Target="/xl/drawings/vmldrawing.vml" Id="R557dc1ca42cc490a" /><Relationship Type="http://schemas.microsoft.com/office/2017/10/relationships/threadedComment" Target="/xl/threadedcomments/threadedcomment.xml" Id="R572ac766f8e348b1" /></Relationships>
</file>

<file path=xl/worksheets/sheet1.xml><?xml version="1.0" encoding="utf-8"?>
<x:worksheet xmlns:x="http://schemas.openxmlformats.org/spreadsheetml/2006/main">
  <x:sheetFormatPr defaultColWidth="9.142857551574707" defaultRowHeight="16.799999237060547"/>
  <x:cols>
    <x:col min="1" max="1" width="41.50893020629883" customWidth="1"/>
    <x:col min="2" max="2" width="12.642857551574707" customWidth="1"/>
  </x:cols>
  <x:sheetData>
    <x:row r="1" customHeight="1">
      <x:c r="A1" s="1" t="str">
        <x:v>CHINA · W30</x:v>
      </x:c>
      <x:c r="B1" s="2"/>
    </x:row>
    <x:row r="2" ht="19.75" customHeight="1">
      <x:c r="A2" s="3" t="str">
        <x:v>Bounded sample: 104 Bilibili comments (42 mapped) | 19 Heybox search-visible posts (12 mapped) | 2026-07-20—2026-07-26</x:v>
      </x:c>
      <x:c r="B2" s="4"/>
    </x:row>
    <x:row r="3" ht="17.549999237060547">
      <x:c r="A3" s="5" t="str">
        <x:v>TOPIC / DRIVER</x:v>
      </x:c>
      <x:c r="B3" s="6" t="str">
        <x:v>MODEL SENTIMENT</x:v>
      </x:c>
    </x:row>
    <x:row r="4" ht="18.299999237060547" customHeight="1">
      <x:c r="A4" s="7" t="str">
        <x:v>Tournament and Creator Discussion</x:v>
      </x:c>
      <x:c r="B4" s="64" t="str">
        <x:v>Negative</x:v>
      </x:c>
    </x:row>
    <x:row r="5" ht="102.75">
      <x:c r="A5" s="9" t="str">
        <x:v>Tournament qualification, team changes and creator commentary led the mapped Bilibili sample. Negative model labels were the largest group, while one Heybox search-visible post added limited cross-platform context.</x:v>
      </x:c>
      <x:c r="B5" s="8"/>
    </x:row>
    <x:row r="6" ht="42.5" customHeight="1">
      <x:c r="A6" s="7" t="str">
        <x:v>Ranked and Matchmaking Experience</x:v>
      </x:c>
      <x:c r="B6" s="60" t="str">
        <x:v>Positive</x:v>
      </x:c>
    </x:row>
    <x:row r="7" ht="129.75">
      <x:c r="A7" s="9" t="str">
        <x:v>Players discussed rank progression, uneven lobbies, solo-queue coordination and server choice. Bilibili reactions leaned positive, while four Heybox posts broadened the sample without supporting a platform-wide conclusion.</x:v>
      </x:c>
      <x:c r="B7" s="10"/>
    </x:row>
    <x:row r="8" ht="29.5" customHeight="1">
      <x:c r="A8" s="7" t="str">
        <x:v>Season Update and Gameplay Systems</x:v>
      </x:c>
      <x:c r="B8" s="64" t="str">
        <x:v>Negative</x:v>
      </x:c>
    </x:row>
    <x:row r="9" ht="175.75">
      <x:c r="A9" s="12" t="str">
        <x:v>Season changes, mode mechanics and competitive positioning remained visible. Half of the six mapped Bilibili comments were model-labeled negative, making the topic worth monitoring despite the small bounded sample.</x:v>
      </x:c>
      <x:c r="B9" s="11"/>
    </x:row>
    <x:row r="10" ht="17.549999237060547">
      <x:c r="A10" s="9"/>
      <x:c r="B10" s="11"/>
    </x:row>
    <x:row r="11" ht="42.5" customHeight="1">
      <x:c r="A11" s="7" t="str">
        <x:v>Competitive Event Explainers</x:v>
      </x:c>
      <x:c r="B11" s="60" t="str">
        <x:v>Positive</x:v>
      </x:c>
    </x:row>
    <x:row r="12" ht="83.75">
      <x:c r="A12" s="9" t="str">
        <x:v>Qualification formats, schedules and roster questions generated practical discussion among newer viewers. Positive and negative model labels were evenly split, so the sample does not indicate a clear sentiment direction.</x:v>
      </x:c>
      <x:c r="B12" s="8"/>
    </x:row>
    <x:row r="13" ht="42.5" customHeight="1">
      <x:c r="A13" s="7" t="str">
        <x:v>Mixed Version and Esports Talk</x:v>
      </x:c>
      <x:c r="B13" s="60" t="str">
        <x:v>Positive</x:v>
      </x:c>
    </x:row>
    <x:row r="14" ht="111.75">
      <x:c r="A14" s="13" t="str">
        <x:v>Version, Ranked and esports comments mixed training-ground stories with expectations for player performance. Positive model labels dominated the four mapped Bilibili comments, with two Heybox posts adding visible-post context.</x:v>
      </x:c>
      <x:c r="B14" s="11"/>
    </x:row>
    <x:row r="15" ht="42.5" customHeight="1">
      <x:c r="A15" s="7" t="str">
        <x:v>Legend Ability and Weapon Balance</x:v>
      </x:c>
      <x:c r="B15" s="62" t="str">
        <x:v>Neutral</x:v>
      </x:c>
    </x:row>
    <x:row r="16" ht="157.75">
      <x:c r="A16" s="9" t="str">
        <x:v>Players compared mode behavior, map interactions and possible balance implications. Neutral model labels formed the largest group, but one negative response and the limited sample prevent a strong conclusion.</x:v>
      </x:c>
      <x:c r="B16" s="11"/>
    </x:row>
    <x:row r="17" ht="18.299999237060547" customHeight="1">
      <x:c r="A17" s="7" t="str">
        <x:v>Cyberpunk Collaboration Friction</x:v>
      </x:c>
      <x:c r="B17" s="64" t="str">
        <x:v>Negative</x:v>
      </x:c>
    </x:row>
    <x:row r="18" ht="148.75">
      <x:c r="A18" s="9" t="str">
        <x:v>The Cyberpunk collaboration appeared in one mapped Bilibili comment and two Heybox search-visible posts. The Bilibili item was model-labeled negative, producing a high derived risk signal that should be treated as sample-sensitive.</x:v>
      </x:c>
      <x:c r="B18" s="10"/>
    </x:row>
    <x:row r="19" ht="29.5" customHeight="1">
      <x:c r="A19" s="7" t="str">
        <x:v>Creator Feedback and Settings Help</x:v>
      </x:c>
      <x:c r="B19" s="60" t="str">
        <x:v>Positive</x:v>
      </x:c>
    </x:row>
    <x:row r="20" ht="148.75">
      <x:c r="A20" s="9" t="str">
        <x:v>Creator feedback and gameplay-setting questions drew two mapped Bilibili comments. Positive and neutral model labels were evenly split, suggesting practical engagement rather than a clear risk pattern.</x:v>
      </x:c>
      <x:c r="B20" s="11"/>
    </x:row>
    <x:row r="21" ht="29.5" customHeight="1">
      <x:c r="A21" s="21" t="str">
        <x:v>Weapon and Legend Strength</x:v>
      </x:c>
      <x:c r="B21" s="68" t="str">
        <x:v>Neutral</x:v>
      </x:c>
    </x:row>
    <x:row r="22" ht="148.75" customHeight="1">
      <x:c r="A22" s="27" t="str">
        <x:v>A single mapped Bilibili comment praised the featured gameplay. The model labeled it neutral, so this topic is included for completeness rather than as evidence of a broader community shift.</x:v>
      </x:c>
      <x:c r="B22" s="39"/>
    </x:row>
    <x:row r="23" ht="29.5" customHeight="1">
      <x:c r="A23" s="47" t="str">
        <x:v>Cheating and Ability Interaction</x:v>
      </x:c>
      <x:c r="B23" s="119" t="str">
        <x:v>Positive</x:v>
      </x:c>
    </x:row>
    <x:row r="24" ht="148.75" customHeight="1">
      <x:c r="A24" s="54" t="str">
        <x:v>One mapped Bilibili comment alleged suspicious ability and map-information behavior. Although the sentiment model labeled the text positive, its content is a moderation signal and requires human interpretation.</x:v>
      </x:c>
      <x:c r="B24" s="39"/>
    </x:row>
  </x:sheetData>
  <x:mergeCells>
    <x:mergeCell ref="A1:B1"/>
    <x:mergeCell ref="B4:B5"/>
    <x:mergeCell ref="B6:B7"/>
    <x:mergeCell ref="B8:B10"/>
    <x:mergeCell ref="B11:B12"/>
    <x:mergeCell ref="B13:B14"/>
    <x:mergeCell ref="B15:B16"/>
    <x:mergeCell ref="B17:B18"/>
    <x:mergeCell ref="B19:B20"/>
    <x:mergeCell ref="B21:B22"/>
    <x:mergeCell ref="B23:B24"/>
    <x:mergeCell ref="A2:B2"/>
  </x:mergeCells>
  <x:pageMargins left="0.7" right="0.7" top="0.75" bottom="0.75" header="0.3" footer="0.3"/>
  <x:legacyDrawing xmlns:r="http://schemas.openxmlformats.org/officeDocument/2006/relationships" r:id="R557dc1ca42cc490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7" hidden="0" customWidth="1"/>
    <x:col min="3" max="3" width="17" hidden="0" customWidth="1"/>
    <x:col min="4" max="4" width="24" hidden="0" customWidth="1"/>
    <x:col min="5" max="5" width="48" hidden="0" customWidth="1"/>
    <x:col min="6" max="6" width="12" hidden="0" customWidth="1"/>
    <x:col min="7" max="7" width="12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28" customHeight="1">
      <x:c r="A1" s="72" t="str">
        <x:v>W30 SOURCE DATA AND QUALITY CHECKS</x:v>
      </x:c>
      <x:c r="B1" s="72"/>
      <x:c r="C1" s="72"/>
      <x:c r="D1" s="72"/>
      <x:c r="E1" s="72"/>
      <x:c r="F1" s="72"/>
      <x:c r="G1" s="72"/>
      <x:c r="H1" s="72"/>
      <x:c r="I1" s="72"/>
      <x:c r="J1" s="72"/>
    </x:row>
    <x:row r="2" ht="34" customHeight="1">
      <x:c r="A2" s="75" t="str">
        <x:v>Model-only exploratory output. Bilibili comments and Heybox visible posts have different units and must not be added as a platform-wide total.</x:v>
      </x:c>
      <x:c r="B2" s="75"/>
      <x:c r="C2" s="75"/>
      <x:c r="D2" s="75"/>
      <x:c r="E2" s="75"/>
      <x:c r="F2" s="75"/>
      <x:c r="G2" s="75"/>
      <x:c r="H2" s="75"/>
      <x:c r="I2" s="75"/>
      <x:c r="J2" s="75"/>
    </x:row>
    <x:row r="4">
      <x:c r="A4" s="100" t="str">
        <x:v>Topic</x:v>
      </x:c>
      <x:c r="B4" s="101" t="str">
        <x:v>Bilibili mapped comments</x:v>
      </x:c>
      <x:c r="C4" s="101" t="str">
        <x:v>Heybox visible posts</x:v>
      </x:c>
      <x:c r="D4" s="101" t="str">
        <x:v>Positive</x:v>
      </x:c>
      <x:c r="E4" s="101" t="str">
        <x:v>Neutral</x:v>
      </x:c>
      <x:c r="F4" s="101" t="str">
        <x:v>Negative</x:v>
      </x:c>
      <x:c r="G4" s="101" t="str">
        <x:v>Average score</x:v>
      </x:c>
      <x:c r="H4" s="101" t="str">
        <x:v>Model sentiment</x:v>
      </x:c>
      <x:c r="I4" s="101" t="str">
        <x:v>Bilibili source</x:v>
      </x:c>
      <x:c r="J4" s="102" t="str">
        <x:v>Heybox source</x:v>
      </x:c>
    </x:row>
    <x:row r="5">
      <x:c r="A5" s="103" t="str">
        <x:v>Tournament and Creator Discussion</x:v>
      </x:c>
      <x:c r="B5" s="103" t="n">
        <x:v>11</x:v>
      </x:c>
      <x:c r="C5" s="103" t="n">
        <x:v>1</x:v>
      </x:c>
      <x:c r="D5" s="104" t="n">
        <x:v>0.3636</x:v>
      </x:c>
      <x:c r="E5" s="104" t="n">
        <x:v>0.1818</x:v>
      </x:c>
      <x:c r="F5" s="104" t="n">
        <x:v>0.4545</x:v>
      </x:c>
      <x:c r="G5" s="105" t="n">
        <x:v>0.488949</x:v>
      </x:c>
      <x:c r="H5" s="103" t="str">
        <x:v>Negative</x:v>
      </x:c>
      <x:c r="I5" s="103" t="str">
        <x:v>https://www.bilibili.com</x:v>
      </x:c>
      <x:c r="J5" s="103" t="str">
        <x:v>https://www.xiaoheihe.cn</x:v>
      </x:c>
    </x:row>
    <x:row r="6">
      <x:c r="A6" s="106" t="str">
        <x:v>Ranked and Matchmaking Experience</x:v>
      </x:c>
      <x:c r="B6" s="106" t="n">
        <x:v>6</x:v>
      </x:c>
      <x:c r="C6" s="106" t="n">
        <x:v>4</x:v>
      </x:c>
      <x:c r="D6" s="107" t="n">
        <x:v>0.6667000000000001</x:v>
      </x:c>
      <x:c r="E6" s="107" t="n">
        <x:v>0.16670000000000001</x:v>
      </x:c>
      <x:c r="F6" s="107" t="n">
        <x:v>0.16670000000000001</x:v>
      </x:c>
      <x:c r="G6" s="108" t="n">
        <x:v>0.738009</x:v>
      </x:c>
      <x:c r="H6" s="106" t="str">
        <x:v>Positive</x:v>
      </x:c>
      <x:c r="I6" s="106" t="str">
        <x:v>https://www.bilibili.com</x:v>
      </x:c>
      <x:c r="J6" s="106" t="str">
        <x:v>https://www.xiaoheihe.cn</x:v>
      </x:c>
    </x:row>
    <x:row r="7">
      <x:c r="A7" s="106" t="str">
        <x:v>Season Update and Gameplay Systems</x:v>
      </x:c>
      <x:c r="B7" s="106" t="n">
        <x:v>6</x:v>
      </x:c>
      <x:c r="C7" s="106" t="n">
        <x:v>1</x:v>
      </x:c>
      <x:c r="D7" s="107" t="n">
        <x:v>0.3333</x:v>
      </x:c>
      <x:c r="E7" s="107" t="n">
        <x:v>0.16670000000000001</x:v>
      </x:c>
      <x:c r="F7" s="107" t="n">
        <x:v>0.5</x:v>
      </x:c>
      <x:c r="G7" s="108" t="n">
        <x:v>0.439188</x:v>
      </x:c>
      <x:c r="H7" s="106" t="str">
        <x:v>Negative</x:v>
      </x:c>
      <x:c r="I7" s="106" t="str">
        <x:v>https://www.bilibili.com</x:v>
      </x:c>
      <x:c r="J7" s="106" t="str">
        <x:v>https://www.xiaoheihe.cn</x:v>
      </x:c>
    </x:row>
    <x:row r="8">
      <x:c r="A8" s="106" t="str">
        <x:v>Competitive Event Explainers</x:v>
      </x:c>
      <x:c r="B8" s="106" t="n">
        <x:v>5</x:v>
      </x:c>
      <x:c r="C8" s="106" t="n">
        <x:v>1</x:v>
      </x:c>
      <x:c r="D8" s="107" t="n">
        <x:v>0.4</x:v>
      </x:c>
      <x:c r="E8" s="107" t="n">
        <x:v>0.2</x:v>
      </x:c>
      <x:c r="F8" s="107" t="n">
        <x:v>0.4</x:v>
      </x:c>
      <x:c r="G8" s="108" t="n">
        <x:v>0.535611</x:v>
      </x:c>
      <x:c r="H8" s="106" t="str">
        <x:v>Positive</x:v>
      </x:c>
      <x:c r="I8" s="106" t="str">
        <x:v>https://www.bilibili.com</x:v>
      </x:c>
      <x:c r="J8" s="106" t="str">
        <x:v>https://www.xiaoheihe.cn</x:v>
      </x:c>
    </x:row>
    <x:row r="9">
      <x:c r="A9" s="106" t="str">
        <x:v>Mixed Version and Esports Talk</x:v>
      </x:c>
      <x:c r="B9" s="106" t="n">
        <x:v>4</x:v>
      </x:c>
      <x:c r="C9" s="106" t="n">
        <x:v>2</x:v>
      </x:c>
      <x:c r="D9" s="107" t="n">
        <x:v>0.75</x:v>
      </x:c>
      <x:c r="E9" s="107" t="n">
        <x:v>0.25</x:v>
      </x:c>
      <x:c r="F9" s="107" t="n">
        <x:v>0</x:v>
      </x:c>
      <x:c r="G9" s="108" t="n">
        <x:v>0.794678</x:v>
      </x:c>
      <x:c r="H9" s="106" t="str">
        <x:v>Positive</x:v>
      </x:c>
      <x:c r="I9" s="106" t="str">
        <x:v>https://www.bilibili.com</x:v>
      </x:c>
      <x:c r="J9" s="106" t="str">
        <x:v>https://www.xiaoheihe.cn</x:v>
      </x:c>
    </x:row>
    <x:row r="10">
      <x:c r="A10" s="106" t="str">
        <x:v>Legend Ability and Weapon Balance</x:v>
      </x:c>
      <x:c r="B10" s="106" t="n">
        <x:v>3</x:v>
      </x:c>
      <x:c r="C10" s="106" t="n">
        <x:v>1</x:v>
      </x:c>
      <x:c r="D10" s="107" t="n">
        <x:v>0</x:v>
      </x:c>
      <x:c r="E10" s="107" t="n">
        <x:v>0.6667000000000001</x:v>
      </x:c>
      <x:c r="F10" s="107" t="n">
        <x:v>0.3333</x:v>
      </x:c>
      <x:c r="G10" s="108" t="n">
        <x:v>0.39208</x:v>
      </x:c>
      <x:c r="H10" s="106" t="str">
        <x:v>Neutral</x:v>
      </x:c>
      <x:c r="I10" s="106" t="str">
        <x:v>https://www.bilibili.com</x:v>
      </x:c>
      <x:c r="J10" s="106" t="str">
        <x:v>https://www.xiaoheihe.cn</x:v>
      </x:c>
    </x:row>
    <x:row r="11">
      <x:c r="A11" s="106" t="str">
        <x:v>Cyberpunk Collaboration Friction</x:v>
      </x:c>
      <x:c r="B11" s="106" t="n">
        <x:v>1</x:v>
      </x:c>
      <x:c r="C11" s="106" t="n">
        <x:v>2</x:v>
      </x:c>
      <x:c r="D11" s="107" t="n">
        <x:v>0</x:v>
      </x:c>
      <x:c r="E11" s="107" t="n">
        <x:v>0</x:v>
      </x:c>
      <x:c r="F11" s="107" t="n">
        <x:v>1</x:v>
      </x:c>
      <x:c r="G11" s="108" t="n">
        <x:v>0.109188</x:v>
      </x:c>
      <x:c r="H11" s="106" t="str">
        <x:v>Negative</x:v>
      </x:c>
      <x:c r="I11" s="106" t="str">
        <x:v>https://www.bilibili.com</x:v>
      </x:c>
      <x:c r="J11" s="106" t="str">
        <x:v>https://www.xiaoheihe.cn</x:v>
      </x:c>
    </x:row>
    <x:row r="12">
      <x:c r="A12" s="106" t="str">
        <x:v>Creator Feedback and Settings Help</x:v>
      </x:c>
      <x:c r="B12" s="106" t="n">
        <x:v>2</x:v>
      </x:c>
      <x:c r="C12" s="106" t="n">
        <x:v>0</x:v>
      </x:c>
      <x:c r="D12" s="107" t="n">
        <x:v>0.5</x:v>
      </x:c>
      <x:c r="E12" s="107" t="n">
        <x:v>0.5</x:v>
      </x:c>
      <x:c r="F12" s="107" t="n">
        <x:v>0</x:v>
      </x:c>
      <x:c r="G12" s="108" t="n">
        <x:v>0.653046</x:v>
      </x:c>
      <x:c r="H12" s="106" t="str">
        <x:v>Positive</x:v>
      </x:c>
      <x:c r="I12" s="106" t="str">
        <x:v>https://www.bilibili.com</x:v>
      </x:c>
      <x:c r="J12" s="106" t="str">
        <x:v>https://www.xiaoheihe.cn</x:v>
      </x:c>
    </x:row>
    <x:row r="13">
      <x:c r="A13" s="106" t="str">
        <x:v>Weapon and Legend Strength</x:v>
      </x:c>
      <x:c r="B13" s="106" t="n">
        <x:v>1</x:v>
      </x:c>
      <x:c r="C13" s="106" t="n">
        <x:v>0</x:v>
      </x:c>
      <x:c r="D13" s="107" t="n">
        <x:v>0</x:v>
      </x:c>
      <x:c r="E13" s="107" t="n">
        <x:v>1</x:v>
      </x:c>
      <x:c r="F13" s="107" t="n">
        <x:v>0</x:v>
      </x:c>
      <x:c r="G13" s="108" t="n">
        <x:v>0.427434</x:v>
      </x:c>
      <x:c r="H13" s="106" t="str">
        <x:v>Neutral</x:v>
      </x:c>
      <x:c r="I13" s="106" t="str">
        <x:v>https://www.bilibili.com</x:v>
      </x:c>
      <x:c r="J13" s="106" t="str">
        <x:v>https://www.xiaoheihe.cn</x:v>
      </x:c>
    </x:row>
    <x:row r="14">
      <x:c r="A14" s="109" t="str">
        <x:v>Cheating and Ability Interaction</x:v>
      </x:c>
      <x:c r="B14" s="109" t="n">
        <x:v>1</x:v>
      </x:c>
      <x:c r="C14" s="109" t="n">
        <x:v>0</x:v>
      </x:c>
      <x:c r="D14" s="110" t="n">
        <x:v>1</x:v>
      </x:c>
      <x:c r="E14" s="110" t="n">
        <x:v>0</x:v>
      </x:c>
      <x:c r="F14" s="110" t="n">
        <x:v>0</x:v>
      </x:c>
      <x:c r="G14" s="111" t="n">
        <x:v>0.996927</x:v>
      </x:c>
      <x:c r="H14" s="109" t="str">
        <x:v>Positive</x:v>
      </x:c>
      <x:c r="I14" s="109" t="str">
        <x:v>https://www.bilibili.com</x:v>
      </x:c>
      <x:c r="J14" s="109" t="str">
        <x:v>https://www.xiaoheihe.cn</x:v>
      </x:c>
    </x:row>
    <x:row r="15">
      <x:c r="A15" s="112"/>
      <x:c r="B15" s="112"/>
      <x:c r="C15" s="112"/>
      <x:c r="D15" s="112"/>
      <x:c r="E15" s="112"/>
      <x:c r="F15" s="112"/>
      <x:c r="G15" s="112"/>
      <x:c r="H15" s="112"/>
      <x:c r="I15" s="112"/>
      <x:c r="J15" s="112"/>
    </x:row>
    <x:row r="16">
      <x:c r="A16" s="113" t="str">
        <x:v>Top 10 mapped totals</x:v>
      </x:c>
      <x:c r="B16" s="114" t="n">
        <x:f>SUM(B5:B14)</x:f>
        <x:v>40</x:v>
      </x:c>
      <x:c r="C16" s="114" t="n">
        <x:f>SUM(C5:C14)</x:f>
        <x:v>12</x:v>
      </x:c>
      <x:c r="D16" s="114"/>
      <x:c r="E16" s="114" t="str">
        <x:v>Weighted negative rate</x:v>
      </x:c>
      <x:c r="F16" s="115" t="n">
        <x:f>IFERROR(SUMPRODUCT(B5:B14,F5:F14)/SUM(B5:B14),0)</x:f>
        <x:v>0.32499</x:v>
      </x:c>
      <x:c r="G16" s="112"/>
      <x:c r="H16" s="112"/>
      <x:c r="I16" s="112"/>
      <x:c r="J16" s="112"/>
    </x:row>
    <x:row r="17">
      <x:c r="A17" s="112"/>
      <x:c r="B17" s="112"/>
      <x:c r="C17" s="112"/>
      <x:c r="D17" s="112"/>
      <x:c r="E17" s="112"/>
      <x:c r="F17" s="112"/>
      <x:c r="G17" s="112"/>
      <x:c r="H17" s="112"/>
      <x:c r="I17" s="112"/>
      <x:c r="J17" s="112"/>
    </x:row>
    <x:row r="18">
      <x:c r="A18" s="100" t="str">
        <x:v>Quality field</x:v>
      </x:c>
      <x:c r="B18" s="102" t="str">
        <x:v>Value</x:v>
      </x:c>
      <x:c r="C18" s="112"/>
      <x:c r="D18" s="100" t="str">
        <x:v>Provenance field</x:v>
      </x:c>
      <x:c r="E18" s="102" t="str">
        <x:v>Value</x:v>
      </x:c>
      <x:c r="F18" s="112"/>
      <x:c r="G18" s="112"/>
      <x:c r="H18" s="112"/>
      <x:c r="I18" s="112"/>
      <x:c r="J18" s="112"/>
    </x:row>
    <x:row r="19">
      <x:c r="A19" s="103" t="str">
        <x:v>Bilibili raw rows</x:v>
      </x:c>
      <x:c r="B19" s="103" t="n">
        <x:v>104</x:v>
      </x:c>
      <x:c r="C19" s="112"/>
      <x:c r="D19" s="103" t="str">
        <x:v>Bilibili raw SHA-256</x:v>
      </x:c>
      <x:c r="E19" s="103" t="str">
        <x:v>b40786365d50e7bf7dd5ecdae4b59a81f19f94c641b266ca0b99390666b05bf9</x:v>
      </x:c>
      <x:c r="F19" s="112"/>
      <x:c r="G19" s="112"/>
      <x:c r="H19" s="112"/>
      <x:c r="I19" s="112"/>
      <x:c r="J19" s="112"/>
    </x:row>
    <x:row r="20">
      <x:c r="A20" s="106" t="str">
        <x:v>Bilibili mapped rows</x:v>
      </x:c>
      <x:c r="B20" s="106" t="n">
        <x:v>42</x:v>
      </x:c>
      <x:c r="C20" s="112"/>
      <x:c r="D20" s="106" t="str">
        <x:v>Heybox raw SHA-256</x:v>
      </x:c>
      <x:c r="E20" s="106" t="str">
        <x:v>baaf8379ebc18390b8c47f1e18aed5ee029a98f70e9e1783ebd2fc76bf38ce02</x:v>
      </x:c>
      <x:c r="F20" s="112"/>
      <x:c r="G20" s="112"/>
      <x:c r="H20" s="112"/>
      <x:c r="I20" s="112"/>
      <x:c r="J20" s="112"/>
    </x:row>
    <x:row r="21">
      <x:c r="A21" s="106" t="str">
        <x:v>Bilibili outliers</x:v>
      </x:c>
      <x:c r="B21" s="106" t="n">
        <x:v>37</x:v>
      </x:c>
      <x:c r="C21" s="112"/>
      <x:c r="D21" s="106" t="str">
        <x:v>Frozen model SHA-256</x:v>
      </x:c>
      <x:c r="E21" s="106" t="str">
        <x:v>40f0c48d7dee49f2c3f804b3a5a896828c671503708a30f84be5812fc7e463a5</x:v>
      </x:c>
      <x:c r="F21" s="112"/>
      <x:c r="G21" s="112"/>
      <x:c r="H21" s="112"/>
      <x:c r="I21" s="112"/>
      <x:c r="J21" s="112"/>
    </x:row>
    <x:row r="22">
      <x:c r="A22" s="106" t="str">
        <x:v>Bilibili low confidence</x:v>
      </x:c>
      <x:c r="B22" s="106" t="n">
        <x:v>55</x:v>
      </x:c>
      <x:c r="C22" s="112"/>
      <x:c r="D22" s="106" t="str">
        <x:v>Confidence</x:v>
      </x:c>
      <x:c r="E22" s="106" t="str">
        <x:v>HDBSCAN membership probability; topic -1 is 0.0</x:v>
      </x:c>
      <x:c r="F22" s="112"/>
      <x:c r="G22" s="112"/>
      <x:c r="H22" s="112"/>
      <x:c r="I22" s="112"/>
      <x:c r="J22" s="112"/>
    </x:row>
    <x:row r="23">
      <x:c r="A23" s="106" t="str">
        <x:v>Bilibili possible misclassification</x:v>
      </x:c>
      <x:c r="B23" s="106" t="n">
        <x:v>2</x:v>
      </x:c>
      <x:c r="C23" s="112"/>
      <x:c r="D23" s="106" t="str">
        <x:v>Bilibili scope</x:v>
      </x:c>
      <x:c r="E23" s="106" t="str">
        <x:v>Logged-in visible top-level comments; explicit W30 timestamps only</x:v>
      </x:c>
      <x:c r="F23" s="112"/>
      <x:c r="G23" s="112"/>
      <x:c r="H23" s="112"/>
      <x:c r="I23" s="112"/>
      <x:c r="J23" s="112"/>
    </x:row>
    <x:row r="24">
      <x:c r="A24" s="106" t="str">
        <x:v>Heybox raw rows</x:v>
      </x:c>
      <x:c r="B24" s="106" t="n">
        <x:v>19</x:v>
      </x:c>
      <x:c r="C24" s="112"/>
      <x:c r="D24" s="106" t="str">
        <x:v>Heybox scope</x:v>
      </x:c>
      <x:c r="E24" s="106" t="str">
        <x:v>Public-search-visible post cards; no comment bodies</x:v>
      </x:c>
      <x:c r="F24" s="112"/>
      <x:c r="G24" s="112"/>
      <x:c r="H24" s="112"/>
      <x:c r="I24" s="112"/>
      <x:c r="J24" s="112"/>
    </x:row>
    <x:row r="25">
      <x:c r="A25" s="106" t="str">
        <x:v>Heybox mapped rows</x:v>
      </x:c>
      <x:c r="B25" s="106" t="n">
        <x:v>12</x:v>
      </x:c>
      <x:c r="C25" s="112"/>
      <x:c r="D25" s="106" t="str">
        <x:v>Formal reporting</x:v>
      </x:c>
      <x:c r="E25" s="106" t="str">
        <x:v>Not qualified</x:v>
      </x:c>
      <x:c r="F25" s="112"/>
      <x:c r="G25" s="112"/>
      <x:c r="H25" s="112"/>
      <x:c r="I25" s="112"/>
      <x:c r="J25" s="112"/>
    </x:row>
    <x:row r="26">
      <x:c r="A26" s="83" t="str">
        <x:v>Heybox outliers</x:v>
      </x:c>
      <x:c r="B26" s="83" t="n">
        <x:v>6</x:v>
      </x:c>
      <x:c r="D26" s="106" t="str">
        <x:v>Combined units</x:v>
      </x:c>
      <x:c r="E26" s="106" t="str">
        <x:v>Incomparable; exploratory view only</x:v>
      </x:c>
    </x:row>
    <x:row r="27">
      <x:c r="A27" s="83" t="str">
        <x:v>Heybox low confidence</x:v>
      </x:c>
      <x:c r="B27" s="83" t="n">
        <x:v>6</x:v>
      </x:c>
      <x:c r="D27" s="106" t="str">
        <x:v>Date range</x:v>
      </x:c>
      <x:c r="E27" s="106" t="str">
        <x:v>2026-07-20—2026-07-26 (Asia/Shanghai)</x:v>
      </x:c>
    </x:row>
    <x:row r="28">
      <x:c r="A28" s="83" t="str">
        <x:v>Heybox possible misclassification</x:v>
      </x:c>
      <x:c r="B28" s="83" t="n">
        <x:v>0</x:v>
      </x:c>
      <x:c r="D28" s="106" t="str">
        <x:v>Generation</x:v>
      </x:c>
      <x:c r="E28" s="106" t="str">
        <x:v>UTC 2026-07-27T01:30:38.686642+00:00</x:v>
      </x:c>
    </x:row>
  </x:sheetData>
  <x:mergeCells>
    <x:mergeCell ref="A1:J1"/>
    <x:mergeCell ref="A2:J2"/>
  </x:mergeCells>
  <x:pageMargins left="0.7" right="0.7" top="0.75" bottom="0.75" header="0.3" footer="0.3"/>
</x:worksheet>
</file>