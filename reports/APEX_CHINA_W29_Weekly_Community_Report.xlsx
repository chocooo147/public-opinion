
<file path=[Content_Types].xml><?xml version="1.0" encoding="utf-8"?>
<Types xmlns="http://schemas.openxmlformats.org/package/2006/content-types">
  <Default Extension="xml" ContentType="application/vnd.openxmlformats-officedocument.spreadsheetml.sheet.main+xml"/>
  <Default Extension="vml" ContentType="application/vnd.openxmlformats-officedocument.vmlDrawing"/>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comments1.xml" ContentType="application/vnd.openxmlformats-officedocument.spreadsheetml.comments+xml"/>
  <Override PartName="/xl/threadedcomments/threadedcomment.xml" ContentType="application/vnd.ms-excel.threadedcomments+xml"/>
  <Override PartName="/xl/worksheets/sheet2.xml" ContentType="application/vnd.openxmlformats-officedocument.spreadsheetml.worksheet+xml"/>
  <Override PartName="/xl/persons/person.xml" ContentType="application/vnd.ms-excel.person+xml"/>
</Types>
</file>

<file path=_rels/.rels>&#65279;<?xml version="1.0" encoding="utf-8"?><Relationships xmlns="http://schemas.openxmlformats.org/package/2006/relationships"><Relationship Type="http://schemas.openxmlformats.org/officeDocument/2006/relationships/officeDocument" Target="/xl/workbook.xml" Id="Rfb5b59c0e6494ba4" /></Relationships>
</file>

<file path=xl/workbook.xml><?xml version="1.0" encoding="utf-8"?>
<x:workbook xmlns:x="http://schemas.openxmlformats.org/spreadsheetml/2006/main">
  <x:sheets>
    <x:sheet xmlns:r="http://schemas.openxmlformats.org/officeDocument/2006/relationships" name="Sheet1" sheetId="1" r:id="Rfd8ed677b98540fc"/>
    <x:sheet xmlns:r="http://schemas.openxmlformats.org/officeDocument/2006/relationships" name="Data &amp; QA" sheetId="2" r:id="R090d106b740b499a"/>
  </x:sheets>
</x:workbook>
</file>

<file path=xl/comments1.xml><?xml version="1.0" encoding="utf-8"?>
<x:comments xmlns:x="http://schemas.openxmlformats.org/spreadsheetml/2006/main">
  <x:authors>
    <x:author>tc={8C02F7B0-B0A4-B42D-CA20-3A044FBE6DE0}</x:author>
  </x:authors>
  <x:commentList>
    <x:comment ref="A2" authorId="0">
      <x:text>
        <x:r>
          <x:t>[Threaded comment]
Your version of Excel allows you to read this threaded comment; however, any edits to it will get removed if the file is opened in a newer version of Excel. Learn more: https://go.microsoft.com/fwlink/?linkid=870924
Comment:
    Bilibili counts comments; Heybox counts public-search-visible posts. These units are not a platform-wide cross-platform total.</x:t>
        </x:r>
      </x:text>
    </x:comment>
  </x:commentList>
</x:comments>
</file>

<file path=xl/sharedStrings.xml><?xml version="1.0" encoding="utf-8"?>
<x:sst xmlns:x="http://schemas.openxmlformats.org/spreadsheetml/2006/main"/>
</file>

<file path=xl/styles.xml><?xml version="1.0" encoding="utf-8"?>
<x:styleSheet xmlns:x="http://schemas.openxmlformats.org/spreadsheetml/2006/main">
  <x:numFmts count="6">
    <x:numFmt numFmtId="41" formatCode="_ * #,##0_ ;_ * \-#,##0_ ;_ * &quot;-&quot;_ ;_ @_ "/>
    <x:numFmt numFmtId="42" formatCode="_ &quot;￥&quot;* #,##0_ ;_ &quot;￥&quot;* \-#,##0_ ;_ &quot;￥&quot;* &quot;-&quot;_ ;_ @_ "/>
    <x:numFmt numFmtId="43" formatCode="_ * #,##0.00_ ;_ * \-#,##0.00_ ;_ * &quot;-&quot;??_ ;_ @_ "/>
    <x:numFmt numFmtId="44" formatCode="_ &quot;￥&quot;* #,##0.00_ ;_ &quot;￥&quot;* \-#,##0.00_ ;_ &quot;￥&quot;* &quot;-&quot;??_ ;_ @_ "/>
    <x:numFmt numFmtId="200" formatCode="0.0%"/>
    <x:numFmt numFmtId="201" formatCode="0.000"/>
  </x:numFmts>
  <x:fonts count="57">
    <x:font>
      <x:sz val="11"/>
      <x:color theme="1"/>
      <x:name val="宋体"/>
    </x:font>
    <x:font>
      <x:b/>
      <x:sz val="10"/>
      <x:color rgb="FFFFFFFF"/>
      <x:name val="Source Sans Pro"/>
    </x:font>
    <x:font>
      <x:b/>
      <x:sz val="6"/>
      <x:color rgb="FFFFFFFF"/>
      <x:name val="Source Sans Pro"/>
    </x:font>
    <x:font>
      <x:b/>
      <x:sz val="6"/>
      <x:color rgb="FF434343"/>
      <x:name val="Source Sans Pro"/>
    </x:font>
    <x:font>
      <x:b/>
      <x:sz val="9"/>
      <x:color rgb="FF434343"/>
      <x:name val="Source Sans Pro"/>
    </x:font>
    <x:font>
      <x:b/>
      <x:sz val="8"/>
      <x:color rgb="FF008000"/>
      <x:name val="Source Sans Pro"/>
    </x:font>
    <x:font>
      <x:i/>
      <x:sz val="6"/>
      <x:color rgb="FF434343"/>
      <x:name val="Source Sans Pro"/>
    </x:font>
    <x:font>
      <x:b/>
      <x:sz val="8"/>
      <x:color rgb="FF434343"/>
      <x:name val="Source Sans Pro"/>
    </x:font>
    <x:font>
      <x:b/>
      <x:sz val="8"/>
      <x:color rgb="FFFF0000"/>
      <x:name val="Source Sans Pro"/>
    </x:font>
    <x:font>
      <x:i/>
      <x:sz val="6"/>
      <x:color theme="1"/>
      <x:name val="Source Sans Pro"/>
    </x:font>
    <x:font>
      <x:i/>
      <x:sz val="6"/>
      <x:color rgb="FF434343"/>
      <x:name val="Source Sans Pro"/>
    </x:font>
    <x:font>
      <x:sz val="11"/>
      <x:color rgb="FFFF0000"/>
      <x:name val="宋体"/>
    </x:font>
    <x:font>
      <x:sz val="11"/>
      <x:color theme="1"/>
      <x:name val="宋体"/>
    </x:font>
    <x:font>
      <x:sz val="11"/>
      <x:color rgb="FF0000FF"/>
      <x:name val="宋体"/>
    </x:font>
    <x:font>
      <x:sz val="11"/>
      <x:color rgb="FF800080"/>
      <x:name val="宋体"/>
    </x:font>
    <x:font>
      <x:sz val="11"/>
      <x:color rgb="FFFF0000"/>
      <x:name val="宋体"/>
    </x:font>
    <x:font>
      <x:b/>
      <x:sz val="18"/>
      <x:color theme="3"/>
      <x:name val="宋体"/>
    </x:font>
    <x:font>
      <x:i/>
      <x:sz val="11"/>
      <x:color rgb="FF7F7F7F"/>
      <x:name val="宋体"/>
    </x:font>
    <x:font>
      <x:b/>
      <x:sz val="15"/>
      <x:color theme="3"/>
      <x:name val="宋体"/>
    </x:font>
    <x:font>
      <x:b/>
      <x:sz val="13"/>
      <x:color theme="3"/>
      <x:name val="宋体"/>
    </x:font>
    <x:font>
      <x:b/>
      <x:sz val="11"/>
      <x:color theme="3"/>
      <x:name val="宋体"/>
    </x:font>
    <x:font>
      <x:sz val="11"/>
      <x:color rgb="FF3F3F76"/>
      <x:name val="宋体"/>
    </x:font>
    <x:font>
      <x:b/>
      <x:sz val="11"/>
      <x:color rgb="FF3F3F3F"/>
      <x:name val="宋体"/>
    </x:font>
    <x:font>
      <x:b/>
      <x:sz val="11"/>
      <x:color rgb="FFFA7D00"/>
      <x:name val="宋体"/>
    </x:font>
    <x:font>
      <x:b/>
      <x:sz val="11"/>
      <x:color rgb="FFFFFFFF"/>
      <x:name val="宋体"/>
    </x:font>
    <x:font>
      <x:sz val="11"/>
      <x:color rgb="FFFA7D00"/>
      <x:name val="宋体"/>
    </x:font>
    <x:font>
      <x:b/>
      <x:sz val="11"/>
      <x:color theme="1"/>
      <x:name val="宋体"/>
    </x:font>
    <x:font>
      <x:sz val="11"/>
      <x:color rgb="FF006100"/>
      <x:name val="宋体"/>
    </x:font>
    <x:font>
      <x:sz val="11"/>
      <x:color rgb="FF9C0006"/>
      <x:name val="宋体"/>
    </x:font>
    <x:font>
      <x:sz val="11"/>
      <x:color rgb="FF9C6500"/>
      <x:name val="宋体"/>
    </x:font>
    <x:font>
      <x:sz val="11"/>
      <x:color theme="0"/>
      <x:name val="宋体"/>
    </x:font>
    <x:font>
      <x:sz val="11"/>
      <x:color theme="1"/>
      <x:name val="宋体"/>
    </x:font>
    <x:font>
      <x:sz val="6"/>
      <x:color rgb="FFFFFFFF"/>
      <x:name val="Source Sans Pro"/>
    </x:font>
    <x:font>
      <x:b/>
      <x:i/>
      <x:sz val="6"/>
      <x:color rgb="FF434343"/>
      <x:name val="Source Sans Pro"/>
    </x:font>
    <x:font>
      <x:b/>
      <x:sz val="6"/>
      <x:color rgb="FF434343"/>
      <x:name val="Source Sans Pro"/>
    </x:font>
    <x:font>
      <x:b/>
      <x:sz val="9"/>
      <x:color rgb="FF434343"/>
      <x:name val="Source Sans Pro"/>
    </x:font>
    <x:font>
      <x:sz val="11"/>
      <x:color theme="1"/>
      <x:name val="宋体"/>
    </x:font>
    <x:font>
      <x:i/>
      <x:sz val="11"/>
      <x:color theme="1"/>
      <x:name val="宋体"/>
    </x:font>
    <x:font>
      <x:i/>
      <x:sz val="6"/>
      <x:color theme="1"/>
      <x:name val="宋体"/>
    </x:font>
    <x:font>
      <x:i/>
      <x:sz val="6"/>
      <x:color theme="1"/>
      <x:name val="Source Sans Pro"/>
    </x:font>
    <x:font>
      <x:i/>
      <x:sz val="6"/>
      <x:color rgb="FF434343"/>
      <x:name val="Source Sans Pro"/>
    </x:font>
    <x:font>
      <x:b/>
      <x:sz val="11"/>
      <x:color rgb="FFFF0000"/>
      <x:name val="宋体"/>
    </x:font>
    <x:font>
      <x:b/>
      <x:sz val="11"/>
      <x:color rgb="FFFF0000"/>
      <x:name val="宋体"/>
    </x:font>
    <x:font>
      <x:b/>
      <x:sz val="11"/>
      <x:color theme="1"/>
      <x:name val="宋体"/>
    </x:font>
    <x:font>
      <x:b/>
      <x:sz val="8"/>
      <x:color rgb="FFFF0000"/>
      <x:name val="宋体"/>
    </x:font>
    <x:font>
      <x:b/>
      <x:sz val="8"/>
      <x:color theme="1"/>
      <x:name val="宋体"/>
    </x:font>
    <x:font>
      <x:b/>
      <x:sz val="8"/>
      <x:color rgb="FFFF0000"/>
      <x:name val="Source Sans Pro"/>
    </x:font>
    <x:font>
      <x:b/>
      <x:sz val="8"/>
      <x:color theme="1"/>
      <x:name val="Source Sans Pro"/>
    </x:font>
    <x:font>
      <x:b/>
      <x:sz val="9"/>
      <x:color theme="1"/>
      <x:name val="宋体"/>
    </x:font>
    <x:font>
      <x:b/>
      <x:sz val="9"/>
      <x:color theme="1"/>
      <x:name val="Source Sans Pro"/>
    </x:font>
    <x:font>
      <x:b/>
      <x:sz val="8"/>
      <x:color rgb="FF008000"/>
      <x:name val="Source Sans Pro"/>
    </x:font>
    <x:font>
      <x:b/>
      <x:sz val="8"/>
      <x:color rgb="FF434343"/>
      <x:name val="Source Sans Pro"/>
    </x:font>
    <x:font>
      <x:b/>
      <x:sz val="15"/>
      <x:color rgb="FFFFFFFF"/>
      <x:name val="Aptos Display"/>
    </x:font>
    <x:font>
      <x:i/>
      <x:sz val="9"/>
      <x:color rgb="FF34495E"/>
      <x:name val="Aptos"/>
    </x:font>
    <x:font>
      <x:b/>
      <x:sz val="11"/>
      <x:color rgb="FFFFFFFF"/>
      <x:name val="Aptos"/>
    </x:font>
    <x:font>
      <x:sz val="9"/>
      <x:color rgb="FF273444"/>
      <x:name val="Aptos"/>
    </x:font>
    <x:font>
      <x:b/>
      <x:sz val="11"/>
      <x:color rgb="FF244B2A"/>
      <x:name val="Aptos"/>
    </x:font>
  </x:fonts>
  <x:fills count="40">
    <x:fill>
      <x:patternFill patternType="none"/>
    </x:fill>
    <x:fill>
      <x:patternFill patternType="gray125"/>
    </x:fill>
    <x:fill>
      <x:patternFill patternType="solid">
        <x:fgColor rgb="FF85200C"/>
      </x:patternFill>
    </x:fill>
    <x:fill>
      <x:patternFill patternType="solid">
        <x:fgColor rgb="FFD9D9D9"/>
      </x:patternFill>
    </x:fill>
    <x:fill>
      <x:patternFill patternType="solid">
        <x:fgColor rgb="FFFFFFCC"/>
      </x:patternFill>
    </x:fill>
    <x:fill>
      <x:patternFill patternType="solid">
        <x:fgColor rgb="FFFFCC99"/>
      </x:patternFill>
    </x:fill>
    <x:fill>
      <x:patternFill patternType="solid">
        <x:fgColor rgb="FFF2F2F2"/>
      </x:patternFill>
    </x:fill>
    <x:fill>
      <x:patternFill patternType="solid">
        <x:fgColor rgb="FFA5A5A5"/>
      </x:patternFill>
    </x:fill>
    <x:fill>
      <x:patternFill patternType="solid">
        <x:fgColor rgb="FFC6EFCE"/>
      </x:patternFill>
    </x:fill>
    <x:fill>
      <x:patternFill patternType="solid">
        <x:fgColor rgb="FFFFC7CE"/>
      </x:patternFill>
    </x:fill>
    <x:fill>
      <x:patternFill patternType="solid">
        <x:fgColor rgb="FFFFEB9C"/>
      </x:patternFill>
    </x:fill>
    <x:fill>
      <x:patternFill patternType="solid">
        <x:fgColor theme="4"/>
      </x:patternFill>
    </x:fill>
    <x:fill>
      <x:patternFill patternType="solid">
        <x:fgColor theme="4" tint="0.79998"/>
      </x:patternFill>
    </x:fill>
    <x:fill>
      <x:patternFill patternType="solid">
        <x:fgColor theme="4" tint="0.59999"/>
      </x:patternFill>
    </x:fill>
    <x:fill>
      <x:patternFill patternType="solid">
        <x:fgColor theme="4" tint="0.39998"/>
      </x:patternFill>
    </x:fill>
    <x:fill>
      <x:patternFill patternType="solid">
        <x:fgColor theme="5"/>
      </x:patternFill>
    </x:fill>
    <x:fill>
      <x:patternFill patternType="solid">
        <x:fgColor theme="5" tint="0.79998"/>
      </x:patternFill>
    </x:fill>
    <x:fill>
      <x:patternFill patternType="solid">
        <x:fgColor theme="5" tint="0.59999"/>
      </x:patternFill>
    </x:fill>
    <x:fill>
      <x:patternFill patternType="solid">
        <x:fgColor theme="5" tint="0.39998"/>
      </x:patternFill>
    </x:fill>
    <x:fill>
      <x:patternFill patternType="solid">
        <x:fgColor theme="6"/>
      </x:patternFill>
    </x:fill>
    <x:fill>
      <x:patternFill patternType="solid">
        <x:fgColor theme="6" tint="0.79998"/>
      </x:patternFill>
    </x:fill>
    <x:fill>
      <x:patternFill patternType="solid">
        <x:fgColor theme="6" tint="0.59999"/>
      </x:patternFill>
    </x:fill>
    <x:fill>
      <x:patternFill patternType="solid">
        <x:fgColor theme="6" tint="0.39998"/>
      </x:patternFill>
    </x:fill>
    <x:fill>
      <x:patternFill patternType="solid">
        <x:fgColor theme="7"/>
      </x:patternFill>
    </x:fill>
    <x:fill>
      <x:patternFill patternType="solid">
        <x:fgColor theme="7" tint="0.79998"/>
      </x:patternFill>
    </x:fill>
    <x:fill>
      <x:patternFill patternType="solid">
        <x:fgColor theme="7" tint="0.59999"/>
      </x:patternFill>
    </x:fill>
    <x:fill>
      <x:patternFill patternType="solid">
        <x:fgColor theme="7" tint="0.39998"/>
      </x:patternFill>
    </x:fill>
    <x:fill>
      <x:patternFill patternType="solid">
        <x:fgColor theme="8"/>
      </x:patternFill>
    </x:fill>
    <x:fill>
      <x:patternFill patternType="solid">
        <x:fgColor theme="8" tint="0.79998"/>
      </x:patternFill>
    </x:fill>
    <x:fill>
      <x:patternFill patternType="solid">
        <x:fgColor theme="8" tint="0.59999"/>
      </x:patternFill>
    </x:fill>
    <x:fill>
      <x:patternFill patternType="solid">
        <x:fgColor theme="8" tint="0.39998"/>
      </x:patternFill>
    </x:fill>
    <x:fill>
      <x:patternFill patternType="solid">
        <x:fgColor theme="9"/>
      </x:patternFill>
    </x:fill>
    <x:fill>
      <x:patternFill patternType="solid">
        <x:fgColor theme="9" tint="0.79998"/>
      </x:patternFill>
    </x:fill>
    <x:fill>
      <x:patternFill patternType="solid">
        <x:fgColor theme="9" tint="0.59999"/>
      </x:patternFill>
    </x:fill>
    <x:fill>
      <x:patternFill patternType="solid">
        <x:fgColor theme="9" tint="0.39998"/>
      </x:patternFill>
    </x:fill>
    <x:fill>
      <x:patternFill patternType="solid">
        <x:fgColor rgb="FFFFFFFF"/>
      </x:patternFill>
    </x:fill>
    <x:fill>
      <x:patternFill patternType="solid">
        <x:fgColor rgb="FF18324A"/>
      </x:patternFill>
    </x:fill>
    <x:fill>
      <x:patternFill patternType="solid">
        <x:fgColor rgb="FFE8F0F7"/>
      </x:patternFill>
    </x:fill>
    <x:fill>
      <x:patternFill patternType="solid">
        <x:fgColor rgb="FF2F5D7C"/>
      </x:patternFill>
    </x:fill>
    <x:fill>
      <x:patternFill patternType="solid">
        <x:fgColor rgb="FFEAF3EA"/>
      </x:patternFill>
    </x:fill>
  </x:fills>
  <x:borders count="26">
    <x:border/>
    <x:border>
      <x:left style="medium">
        <x:color rgb="FF999999"/>
      </x:left>
      <x:top style="medium">
        <x:color rgb="FF999999"/>
      </x:top>
    </x:border>
    <x:border>
      <x:right style="medium">
        <x:color rgb="FF999999"/>
      </x:right>
      <x:top style="medium">
        <x:color rgb="FF999999"/>
      </x:top>
    </x:border>
    <x:border>
      <x:left style="medium">
        <x:color rgb="FF999999"/>
      </x:left>
      <x:bottom style="medium">
        <x:color rgb="FF999999"/>
      </x:bottom>
    </x:border>
    <x:border>
      <x:right style="medium">
        <x:color rgb="FF999999"/>
      </x:right>
      <x:bottom style="medium">
        <x:color rgb="FF999999"/>
      </x:bottom>
    </x:border>
    <x:border>
      <x:left style="medium">
        <x:color rgb="FF999999"/>
      </x:left>
      <x:right style="medium">
        <x:color rgb="FF999999"/>
      </x:right>
      <x:bottom style="medium">
        <x:color rgb="FF999999"/>
      </x:bottom>
    </x:border>
    <x:border>
      <x:right style="medium">
        <x:color rgb="FF999999"/>
      </x:right>
      <x:top style="medium">
        <x:color rgb="FF999999"/>
      </x:top>
      <x:bottom style="medium">
        <x:color rgb="FF999999"/>
      </x:bottom>
    </x:border>
    <x:border>
      <x:left style="medium">
        <x:color rgb="FF999999"/>
      </x:left>
      <x:right style="medium">
        <x:color rgb="FF999999"/>
      </x:right>
    </x:border>
    <x:border>
      <x:left style="thin">
        <x:color rgb="FFB2B2B2"/>
      </x:left>
      <x:right style="thin">
        <x:color rgb="FFB2B2B2"/>
      </x:right>
      <x:top style="thin">
        <x:color rgb="FFB2B2B2"/>
      </x:top>
      <x:bottom style="thin">
        <x:color rgb="FFB2B2B2"/>
      </x:bottom>
    </x:border>
    <x:border>
      <x:bottom style="medium">
        <x:color theme="4"/>
      </x:bottom>
    </x:border>
    <x:border>
      <x:bottom style="medium">
        <x:color theme="4" tint="0.49998"/>
      </x:bottom>
    </x:border>
    <x:border>
      <x:left style="thin">
        <x:color rgb="FF7F7F7F"/>
      </x:left>
      <x:right style="thin">
        <x:color rgb="FF7F7F7F"/>
      </x:right>
      <x:top style="thin">
        <x:color rgb="FF7F7F7F"/>
      </x:top>
      <x:bottom style="thin">
        <x:color rgb="FF7F7F7F"/>
      </x:bottom>
    </x:border>
    <x:border>
      <x:left style="thin">
        <x:color rgb="FF3F3F3F"/>
      </x:left>
      <x:right style="thin">
        <x:color rgb="FF3F3F3F"/>
      </x:right>
      <x:top style="thin">
        <x:color rgb="FF3F3F3F"/>
      </x:top>
      <x:bottom style="thin">
        <x:color rgb="FF3F3F3F"/>
      </x:bottom>
    </x:border>
    <x:border>
      <x:left style="double">
        <x:color rgb="FF3F3F3F"/>
      </x:left>
      <x:right style="double">
        <x:color rgb="FF3F3F3F"/>
      </x:right>
      <x:top style="double">
        <x:color rgb="FF3F3F3F"/>
      </x:top>
      <x:bottom style="double">
        <x:color rgb="FF3F3F3F"/>
      </x:bottom>
    </x:border>
    <x:border>
      <x:bottom style="double">
        <x:color rgb="FFFF8001"/>
      </x:bottom>
    </x:border>
    <x:border>
      <x:top style="thin">
        <x:color theme="4"/>
      </x:top>
      <x:bottom style="double">
        <x:color theme="4"/>
      </x:bottom>
    </x:border>
    <x:border>
      <x:right style="medium">
        <x:color rgb="FF999999"/>
      </x:right>
    </x:border>
    <x:border>
      <x:left style="thin">
        <x:color rgb="FF9FB5C4"/>
      </x:left>
      <x:top style="thin">
        <x:color rgb="FF9FB5C4"/>
      </x:top>
      <x:bottom style="thin">
        <x:color rgb="FF9FB5C4"/>
      </x:bottom>
    </x:border>
    <x:border>
      <x:top style="thin">
        <x:color rgb="FF9FB5C4"/>
      </x:top>
      <x:bottom style="thin">
        <x:color rgb="FF9FB5C4"/>
      </x:bottom>
    </x:border>
    <x:border>
      <x:right style="thin">
        <x:color rgb="FF9FB5C4"/>
      </x:right>
      <x:top style="thin">
        <x:color rgb="FF9FB5C4"/>
      </x:top>
      <x:bottom style="thin">
        <x:color rgb="FF9FB5C4"/>
      </x:bottom>
    </x:border>
    <x:border>
      <x:bottom style="thin">
        <x:color rgb="FFD7E0E7"/>
      </x:bottom>
    </x:border>
    <x:border>
      <x:top style="thin">
        <x:color rgb="FFD7E0E7"/>
      </x:top>
      <x:bottom style="thin">
        <x:color rgb="FFD7E0E7"/>
      </x:bottom>
    </x:border>
    <x:border>
      <x:top style="thin">
        <x:color rgb="FFD7E0E7"/>
      </x:top>
    </x:border>
    <x:border>
      <x:left style="thin">
        <x:color rgb="FF9BB89F"/>
      </x:left>
      <x:top style="thin">
        <x:color rgb="FF9BB89F"/>
      </x:top>
      <x:bottom style="thin">
        <x:color rgb="FF9BB89F"/>
      </x:bottom>
    </x:border>
    <x:border>
      <x:top style="thin">
        <x:color rgb="FF9BB89F"/>
      </x:top>
      <x:bottom style="thin">
        <x:color rgb="FF9BB89F"/>
      </x:bottom>
    </x:border>
    <x:border>
      <x:right style="thin">
        <x:color rgb="FF9BB89F"/>
      </x:right>
      <x:top style="thin">
        <x:color rgb="FF9BB89F"/>
      </x:top>
      <x:bottom style="thin">
        <x:color rgb="FF9BB89F"/>
      </x:bottom>
    </x:border>
  </x:borders>
  <x:cellStyleXfs count="49">
    <x:xf numFmtId="0" fontId="0" fillId="0" borderId="0">
      <x:alignment vertical="center"/>
    </x:xf>
    <x:xf numFmtId="43" fontId="0" fillId="0" borderId="0" applyFont="0" applyFill="0" applyBorder="0" applyAlignment="0" applyProtection="0">
      <x:alignment vertical="center"/>
    </x:xf>
    <x:xf numFmtId="44" fontId="0" fillId="0" borderId="0" applyFont="0" applyFill="0" applyBorder="0" applyAlignment="0" applyProtection="0">
      <x:alignment vertical="center"/>
    </x:xf>
    <x:xf numFmtId="9" fontId="0" fillId="0" borderId="0" applyFont="0" applyFill="0" applyBorder="0" applyAlignment="0" applyProtection="0">
      <x:alignment vertical="center"/>
    </x:xf>
    <x:xf numFmtId="41" fontId="0" fillId="0" borderId="0" applyFont="0" applyFill="0" applyBorder="0" applyAlignment="0" applyProtection="0">
      <x:alignment vertical="center"/>
    </x:xf>
    <x:xf numFmtId="42" fontId="0" fillId="0" borderId="0" applyFont="0" applyFill="0" applyBorder="0" applyAlignment="0" applyProtection="0">
      <x:alignment vertical="center"/>
    </x:xf>
    <x:xf numFmtId="0" fontId="13" fillId="0" borderId="0" applyNumberFormat="0" applyFill="0" applyBorder="0" applyAlignment="0" applyProtection="0">
      <x:alignment vertical="center"/>
    </x:xf>
    <x:xf numFmtId="0" fontId="14" fillId="0" borderId="0" applyNumberFormat="0" applyFill="0" applyBorder="0" applyAlignment="0" applyProtection="0">
      <x:alignment vertical="center"/>
    </x:xf>
    <x:xf numFmtId="0" fontId="0" fillId="4" borderId="8" applyNumberFormat="0" applyFont="0" applyAlignment="0" applyProtection="0">
      <x:alignment vertical="center"/>
    </x:xf>
    <x:xf numFmtId="0" fontId="15" fillId="0" borderId="0" applyNumberFormat="0" applyFill="0" applyBorder="0" applyAlignment="0" applyProtection="0">
      <x:alignment vertical="center"/>
    </x:xf>
    <x:xf numFmtId="0" fontId="16" fillId="0" borderId="0" applyNumberFormat="0" applyFill="0" applyBorder="0" applyAlignment="0" applyProtection="0">
      <x:alignment vertical="center"/>
    </x:xf>
    <x:xf numFmtId="0" fontId="17" fillId="0" borderId="0" applyNumberFormat="0" applyFill="0" applyBorder="0" applyAlignment="0" applyProtection="0">
      <x:alignment vertical="center"/>
    </x:xf>
    <x:xf numFmtId="0" fontId="18" fillId="0" borderId="9" applyNumberFormat="0" applyFill="0" applyAlignment="0" applyProtection="0">
      <x:alignment vertical="center"/>
    </x:xf>
    <x:xf numFmtId="0" fontId="19" fillId="0" borderId="9" applyNumberFormat="0" applyFill="0" applyAlignment="0" applyProtection="0">
      <x:alignment vertical="center"/>
    </x:xf>
    <x:xf numFmtId="0" fontId="20" fillId="0" borderId="10" applyNumberFormat="0" applyFill="0" applyAlignment="0" applyProtection="0">
      <x:alignment vertical="center"/>
    </x:xf>
    <x:xf numFmtId="0" fontId="20" fillId="0" borderId="0" applyNumberFormat="0" applyFill="0" applyBorder="0" applyAlignment="0" applyProtection="0">
      <x:alignment vertical="center"/>
    </x:xf>
    <x:xf numFmtId="0" fontId="21" fillId="5" borderId="11" applyNumberFormat="0" applyAlignment="0" applyProtection="0">
      <x:alignment vertical="center"/>
    </x:xf>
    <x:xf numFmtId="0" fontId="22" fillId="6" borderId="12" applyNumberFormat="0" applyAlignment="0" applyProtection="0">
      <x:alignment vertical="center"/>
    </x:xf>
    <x:xf numFmtId="0" fontId="23" fillId="6" borderId="11" applyNumberFormat="0" applyAlignment="0" applyProtection="0">
      <x:alignment vertical="center"/>
    </x:xf>
    <x:xf numFmtId="0" fontId="24" fillId="7" borderId="13" applyNumberFormat="0" applyAlignment="0" applyProtection="0">
      <x:alignment vertical="center"/>
    </x:xf>
    <x:xf numFmtId="0" fontId="25" fillId="0" borderId="14" applyNumberFormat="0" applyFill="0" applyAlignment="0" applyProtection="0">
      <x:alignment vertical="center"/>
    </x:xf>
    <x:xf numFmtId="0" fontId="26" fillId="0" borderId="15" applyNumberFormat="0" applyFill="0" applyAlignment="0" applyProtection="0">
      <x:alignment vertical="center"/>
    </x:xf>
    <x:xf numFmtId="0" fontId="27" fillId="8" borderId="0" applyNumberFormat="0" applyBorder="0" applyAlignment="0" applyProtection="0">
      <x:alignment vertical="center"/>
    </x:xf>
    <x:xf numFmtId="0" fontId="28" fillId="9" borderId="0" applyNumberFormat="0" applyBorder="0" applyAlignment="0" applyProtection="0">
      <x:alignment vertical="center"/>
    </x:xf>
    <x:xf numFmtId="0" fontId="29" fillId="10" borderId="0" applyNumberFormat="0" applyBorder="0" applyAlignment="0" applyProtection="0">
      <x:alignment vertical="center"/>
    </x:xf>
    <x:xf numFmtId="0" fontId="30" fillId="11" borderId="0" applyNumberFormat="0" applyBorder="0" applyAlignment="0" applyProtection="0">
      <x:alignment vertical="center"/>
    </x:xf>
    <x:xf numFmtId="0" fontId="31" fillId="12" borderId="0" applyNumberFormat="0" applyBorder="0" applyAlignment="0" applyProtection="0">
      <x:alignment vertical="center"/>
    </x:xf>
    <x:xf numFmtId="0" fontId="31" fillId="13" borderId="0" applyNumberFormat="0" applyBorder="0" applyAlignment="0" applyProtection="0">
      <x:alignment vertical="center"/>
    </x:xf>
    <x:xf numFmtId="0" fontId="30" fillId="14" borderId="0" applyNumberFormat="0" applyBorder="0" applyAlignment="0" applyProtection="0">
      <x:alignment vertical="center"/>
    </x:xf>
    <x:xf numFmtId="0" fontId="30" fillId="15" borderId="0" applyNumberFormat="0" applyBorder="0" applyAlignment="0" applyProtection="0">
      <x:alignment vertical="center"/>
    </x:xf>
    <x:xf numFmtId="0" fontId="31" fillId="16" borderId="0" applyNumberFormat="0" applyBorder="0" applyAlignment="0" applyProtection="0">
      <x:alignment vertical="center"/>
    </x:xf>
    <x:xf numFmtId="0" fontId="31" fillId="17" borderId="0" applyNumberFormat="0" applyBorder="0" applyAlignment="0" applyProtection="0">
      <x:alignment vertical="center"/>
    </x:xf>
    <x:xf numFmtId="0" fontId="30" fillId="18" borderId="0" applyNumberFormat="0" applyBorder="0" applyAlignment="0" applyProtection="0">
      <x:alignment vertical="center"/>
    </x:xf>
    <x:xf numFmtId="0" fontId="30" fillId="19" borderId="0" applyNumberFormat="0" applyBorder="0" applyAlignment="0" applyProtection="0">
      <x:alignment vertical="center"/>
    </x:xf>
    <x:xf numFmtId="0" fontId="31" fillId="20" borderId="0" applyNumberFormat="0" applyBorder="0" applyAlignment="0" applyProtection="0">
      <x:alignment vertical="center"/>
    </x:xf>
    <x:xf numFmtId="0" fontId="31" fillId="21" borderId="0" applyNumberFormat="0" applyBorder="0" applyAlignment="0" applyProtection="0">
      <x:alignment vertical="center"/>
    </x:xf>
    <x:xf numFmtId="0" fontId="30" fillId="22" borderId="0" applyNumberFormat="0" applyBorder="0" applyAlignment="0" applyProtection="0">
      <x:alignment vertical="center"/>
    </x:xf>
    <x:xf numFmtId="0" fontId="30" fillId="23" borderId="0" applyNumberFormat="0" applyBorder="0" applyAlignment="0" applyProtection="0">
      <x:alignment vertical="center"/>
    </x:xf>
    <x:xf numFmtId="0" fontId="31" fillId="24" borderId="0" applyNumberFormat="0" applyBorder="0" applyAlignment="0" applyProtection="0">
      <x:alignment vertical="center"/>
    </x:xf>
    <x:xf numFmtId="0" fontId="31" fillId="25" borderId="0" applyNumberFormat="0" applyBorder="0" applyAlignment="0" applyProtection="0">
      <x:alignment vertical="center"/>
    </x:xf>
    <x:xf numFmtId="0" fontId="30" fillId="26" borderId="0" applyNumberFormat="0" applyBorder="0" applyAlignment="0" applyProtection="0">
      <x:alignment vertical="center"/>
    </x:xf>
    <x:xf numFmtId="0" fontId="30" fillId="27" borderId="0" applyNumberFormat="0" applyBorder="0" applyAlignment="0" applyProtection="0">
      <x:alignment vertical="center"/>
    </x:xf>
    <x:xf numFmtId="0" fontId="31" fillId="28" borderId="0" applyNumberFormat="0" applyBorder="0" applyAlignment="0" applyProtection="0">
      <x:alignment vertical="center"/>
    </x:xf>
    <x:xf numFmtId="0" fontId="31" fillId="29" borderId="0" applyNumberFormat="0" applyBorder="0" applyAlignment="0" applyProtection="0">
      <x:alignment vertical="center"/>
    </x:xf>
    <x:xf numFmtId="0" fontId="30" fillId="30" borderId="0" applyNumberFormat="0" applyBorder="0" applyAlignment="0" applyProtection="0">
      <x:alignment vertical="center"/>
    </x:xf>
    <x:xf numFmtId="0" fontId="30" fillId="31" borderId="0" applyNumberFormat="0" applyBorder="0" applyAlignment="0" applyProtection="0">
      <x:alignment vertical="center"/>
    </x:xf>
    <x:xf numFmtId="0" fontId="31" fillId="32" borderId="0" applyNumberFormat="0" applyBorder="0" applyAlignment="0" applyProtection="0">
      <x:alignment vertical="center"/>
    </x:xf>
    <x:xf numFmtId="0" fontId="31" fillId="33" borderId="0" applyNumberFormat="0" applyBorder="0" applyAlignment="0" applyProtection="0">
      <x:alignment vertical="center"/>
    </x:xf>
    <x:xf numFmtId="0" fontId="30" fillId="34" borderId="0" applyNumberFormat="0" applyBorder="0" applyAlignment="0" applyProtection="0">
      <x:alignment vertical="center"/>
    </x:xf>
  </x:cellStyleXfs>
  <x:cellXfs count="119">
    <x:xf numFmtId="0" fontId="0" fillId="0" borderId="0" xfId="0">
      <x:alignment vertical="center"/>
    </x:xf>
    <x:xf numFmtId="0" fontId="1" fillId="2" borderId="1" xfId="0" applyFont="1" applyFill="1" applyBorder="1" applyAlignment="1">
      <x:alignment horizontal="center" vertical="top" wrapText="1"/>
    </x:xf>
    <x:xf numFmtId="0" fontId="1" fillId="2" borderId="2" xfId="0" applyFont="1" applyFill="1" applyBorder="1" applyAlignment="1">
      <x:alignment horizontal="center" vertical="top" wrapText="1"/>
    </x:xf>
    <x:xf numFmtId="0" fontId="2" fillId="2" borderId="3" xfId="0" applyFont="1" applyFill="1" applyBorder="1" applyAlignment="1">
      <x:alignment vertical="top" wrapText="1"/>
    </x:xf>
    <x:xf numFmtId="0" fontId="2" fillId="2" borderId="4" xfId="0" applyFont="1" applyFill="1" applyBorder="1" applyAlignment="1">
      <x:alignment vertical="top" wrapText="1"/>
    </x:xf>
    <x:xf numFmtId="0" fontId="3" fillId="3" borderId="5" xfId="0" applyFont="1" applyFill="1" applyBorder="1" applyAlignment="1">
      <x:alignment vertical="top" wrapText="1"/>
    </x:xf>
    <x:xf numFmtId="0" fontId="3" fillId="3" borderId="6" xfId="0" applyFont="1" applyFill="1" applyBorder="1" applyAlignment="1">
      <x:alignment vertical="top" wrapText="1"/>
    </x:xf>
    <x:xf numFmtId="0" fontId="4" fillId="0" borderId="7" xfId="0" applyFont="1" applyBorder="1" applyAlignment="1">
      <x:alignment vertical="top" wrapText="1"/>
    </x:xf>
    <x:xf numFmtId="0" fontId="5" fillId="0" borderId="4" xfId="0" applyFont="1" applyBorder="1" applyAlignment="1">
      <x:alignment horizontal="center" vertical="top" wrapText="1"/>
    </x:xf>
    <x:xf numFmtId="0" fontId="6" fillId="0" borderId="5" xfId="0" applyFont="1" applyBorder="1" applyAlignment="1">
      <x:alignment vertical="top" wrapText="1"/>
    </x:xf>
    <x:xf numFmtId="0" fontId="7" fillId="0" borderId="4" xfId="0" applyFont="1" applyBorder="1" applyAlignment="1">
      <x:alignment horizontal="center" vertical="top" wrapText="1"/>
    </x:xf>
    <x:xf numFmtId="0" fontId="8" fillId="0" borderId="4" xfId="0" applyFont="1" applyBorder="1" applyAlignment="1">
      <x:alignment horizontal="center" vertical="top" wrapText="1"/>
    </x:xf>
    <x:xf numFmtId="0" fontId="6" fillId="0" borderId="7" xfId="0" applyFont="1" applyBorder="1" applyAlignment="1">
      <x:alignment vertical="top" wrapText="1"/>
    </x:xf>
    <x:xf numFmtId="0" fontId="9" fillId="0" borderId="5" xfId="0" applyFont="1" applyBorder="1" applyAlignment="1">
      <x:alignment vertical="top" wrapText="1"/>
    </x:xf>
    <x:xf numFmtId="0" fontId="10" fillId="0" borderId="5" xfId="0" applyFont="1" applyBorder="1" applyAlignment="1">
      <x:alignment vertical="top" wrapText="1"/>
    </x:xf>
    <x:xf numFmtId="0" fontId="11" fillId="0" borderId="4" xfId="0" applyFont="1" applyBorder="1" applyAlignment="1">
      <x:alignment horizontal="center" vertical="top" wrapText="1"/>
    </x:xf>
    <x:xf numFmtId="0" fontId="12" fillId="0" borderId="5" xfId="0" applyFont="1" applyBorder="1" applyAlignment="1">
      <x:alignment vertical="top" wrapText="1"/>
    </x:xf>
    <x:xf numFmtId="0" fontId="0" fillId="0" borderId="4" xfId="0" applyBorder="1">
      <x:alignment vertical="center"/>
    </x:xf>
    <x:xf numFmtId="0" fontId="6" fillId="35" borderId="5" xfId="0" applyNumberFormat="1" applyFont="1" applyFill="1" applyBorder="1" applyAlignment="1">
      <x:alignment vertical="top" wrapText="1"/>
    </x:xf>
    <x:xf numFmtId="0" fontId="33" fillId="35" borderId="5" xfId="0" applyNumberFormat="1" applyFont="1" applyFill="1" applyBorder="1" applyAlignment="1">
      <x:alignment vertical="top" wrapText="1"/>
    </x:xf>
    <x:xf numFmtId="0" fontId="34" fillId="35" borderId="5" xfId="0" applyNumberFormat="1" applyFont="1" applyFill="1" applyBorder="1" applyAlignment="1">
      <x:alignment vertical="top" wrapText="1"/>
    </x:xf>
    <x:xf numFmtId="0" fontId="35" fillId="35" borderId="5" xfId="0" applyNumberFormat="1" applyFont="1" applyFill="1" applyBorder="1" applyAlignment="1">
      <x:alignment vertical="top" wrapText="1"/>
    </x:xf>
    <x:xf numFmtId="0" fontId="0" fillId="35" borderId="5" xfId="0" applyNumberFormat="1" applyFont="1" applyFill="1" applyBorder="1" applyAlignment="1">
      <x:alignment vertical="top" wrapText="1"/>
    </x:xf>
    <x:xf numFmtId="0" fontId="36" fillId="35" borderId="5" xfId="0" applyNumberFormat="1" applyFont="1" applyFill="1" applyBorder="1" applyAlignment="1">
      <x:alignment vertical="top" wrapText="1"/>
    </x:xf>
    <x:xf numFmtId="0" fontId="37" fillId="35" borderId="5" xfId="0" applyNumberFormat="1" applyFont="1" applyFill="1" applyBorder="1" applyAlignment="1">
      <x:alignment vertical="top" wrapText="1"/>
    </x:xf>
    <x:xf numFmtId="0" fontId="38" fillId="35" borderId="5" xfId="0" applyNumberFormat="1" applyFont="1" applyFill="1" applyBorder="1" applyAlignment="1">
      <x:alignment vertical="top" wrapText="1"/>
    </x:xf>
    <x:xf numFmtId="0" fontId="39" fillId="35" borderId="5" xfId="0" applyNumberFormat="1" applyFont="1" applyFill="1" applyBorder="1" applyAlignment="1">
      <x:alignment vertical="top" wrapText="1"/>
    </x:xf>
    <x:xf numFmtId="0" fontId="40" fillId="35" borderId="5" xfId="0" applyNumberFormat="1" applyFont="1" applyFill="1" applyBorder="1" applyAlignment="1">
      <x:alignment vertical="top" wrapText="1"/>
    </x:xf>
    <x:xf numFmtId="0" fontId="11" fillId="35" borderId="4" xfId="0" applyNumberFormat="1" applyFont="1" applyFill="1" applyBorder="1" applyAlignment="1">
      <x:alignment horizontal="center" vertical="top" wrapText="1"/>
    </x:xf>
    <x:xf numFmtId="0" fontId="0" fillId="35" borderId="4" xfId="0" applyNumberFormat="1" applyFont="1" applyFill="1" applyBorder="1" applyAlignment="1">
      <x:alignment vertical="center"/>
    </x:xf>
    <x:xf numFmtId="0" fontId="41" fillId="35" borderId="4" xfId="0" applyNumberFormat="1" applyFont="1" applyFill="1" applyBorder="1" applyAlignment="1">
      <x:alignment horizontal="center" vertical="top" wrapText="1"/>
    </x:xf>
    <x:xf numFmtId="0" fontId="26" fillId="35" borderId="4" xfId="0" applyNumberFormat="1" applyFont="1" applyFill="1" applyBorder="1" applyAlignment="1">
      <x:alignment vertical="center"/>
    </x:xf>
    <x:xf numFmtId="0" fontId="42" fillId="35" borderId="4" xfId="0" applyNumberFormat="1" applyFont="1" applyFill="1" applyBorder="1" applyAlignment="1">
      <x:alignment horizontal="center" vertical="top" wrapText="1"/>
    </x:xf>
    <x:xf numFmtId="0" fontId="43" fillId="35" borderId="4" xfId="0" applyNumberFormat="1" applyFont="1" applyFill="1" applyBorder="1" applyAlignment="1">
      <x:alignment vertical="center"/>
    </x:xf>
    <x:xf numFmtId="0" fontId="44" fillId="35" borderId="4" xfId="0" applyNumberFormat="1" applyFont="1" applyFill="1" applyBorder="1" applyAlignment="1">
      <x:alignment horizontal="center" vertical="top" wrapText="1"/>
    </x:xf>
    <x:xf numFmtId="0" fontId="45" fillId="35" borderId="4" xfId="0" applyNumberFormat="1" applyFont="1" applyFill="1" applyBorder="1" applyAlignment="1">
      <x:alignment vertical="center"/>
    </x:xf>
    <x:xf numFmtId="0" fontId="46" fillId="35" borderId="4" xfId="0" applyNumberFormat="1" applyFont="1" applyFill="1" applyBorder="1" applyAlignment="1">
      <x:alignment horizontal="center" vertical="top" wrapText="1"/>
    </x:xf>
    <x:xf numFmtId="0" fontId="47" fillId="35" borderId="4" xfId="0" applyNumberFormat="1" applyFont="1" applyFill="1" applyBorder="1" applyAlignment="1">
      <x:alignment vertical="center"/>
    </x:xf>
    <x:xf numFmtId="0" fontId="47" fillId="35" borderId="4" xfId="0" applyNumberFormat="1" applyFont="1" applyFill="1" applyBorder="1" applyAlignment="1">
      <x:alignment vertical="center" wrapText="1"/>
    </x:xf>
    <x:xf numFmtId="0" fontId="47" fillId="35" borderId="4" xfId="0" applyNumberFormat="1" applyFont="1" applyFill="1" applyBorder="1" applyAlignment="1">
      <x:alignment horizontal="center" vertical="center" wrapText="1"/>
    </x:xf>
    <x:xf numFmtId="0" fontId="0" fillId="35" borderId="0" xfId="0" applyNumberFormat="1" applyFont="1" applyFill="1" applyBorder="1" applyAlignment="1">
      <x:alignment vertical="center"/>
    </x:xf>
    <x:xf numFmtId="0" fontId="26" fillId="35" borderId="0" xfId="0" applyNumberFormat="1" applyFont="1" applyFill="1" applyBorder="1" applyAlignment="1">
      <x:alignment vertical="center"/>
    </x:xf>
    <x:xf numFmtId="0" fontId="43" fillId="35" borderId="0" xfId="0" applyNumberFormat="1" applyFont="1" applyFill="1" applyBorder="1" applyAlignment="1">
      <x:alignment vertical="center"/>
    </x:xf>
    <x:xf numFmtId="0" fontId="48" fillId="35" borderId="0" xfId="0" applyNumberFormat="1" applyFont="1" applyFill="1" applyBorder="1" applyAlignment="1">
      <x:alignment vertical="center"/>
    </x:xf>
    <x:xf numFmtId="0" fontId="49" fillId="35" borderId="0" xfId="0" applyNumberFormat="1" applyFont="1" applyFill="1" applyBorder="1" applyAlignment="1">
      <x:alignment vertical="center"/>
    </x:xf>
    <x:xf numFmtId="0" fontId="35" fillId="35" borderId="0" xfId="0" applyNumberFormat="1" applyFont="1" applyFill="1" applyBorder="1" applyAlignment="1">
      <x:alignment vertical="center"/>
    </x:xf>
    <x:xf numFmtId="0" fontId="35" fillId="35" borderId="7" xfId="0" applyNumberFormat="1" applyFont="1" applyFill="1" applyBorder="1" applyAlignment="1">
      <x:alignment vertical="center"/>
    </x:xf>
    <x:xf numFmtId="0" fontId="35" fillId="35" borderId="7" xfId="0" applyNumberFormat="1" applyFont="1" applyFill="1" applyBorder="1" applyAlignment="1">
      <x:alignment vertical="center" wrapText="1"/>
    </x:xf>
    <x:xf numFmtId="0" fontId="36" fillId="35" borderId="0" xfId="0" applyNumberFormat="1" applyFont="1" applyFill="1" applyBorder="1" applyAlignment="1">
      <x:alignment vertical="center"/>
    </x:xf>
    <x:xf numFmtId="0" fontId="37" fillId="35" borderId="0" xfId="0" applyNumberFormat="1" applyFont="1" applyFill="1" applyBorder="1" applyAlignment="1">
      <x:alignment vertical="center"/>
    </x:xf>
    <x:xf numFmtId="0" fontId="38" fillId="35" borderId="0" xfId="0" applyNumberFormat="1" applyFont="1" applyFill="1" applyBorder="1" applyAlignment="1">
      <x:alignment vertical="center"/>
    </x:xf>
    <x:xf numFmtId="0" fontId="39" fillId="35" borderId="0" xfId="0" applyNumberFormat="1" applyFont="1" applyFill="1" applyBorder="1" applyAlignment="1">
      <x:alignment vertical="center"/>
    </x:xf>
    <x:xf numFmtId="0" fontId="40" fillId="35" borderId="0" xfId="0" applyNumberFormat="1" applyFont="1" applyFill="1" applyBorder="1" applyAlignment="1">
      <x:alignment vertical="center"/>
    </x:xf>
    <x:xf numFmtId="0" fontId="40" fillId="35" borderId="5" xfId="0" applyNumberFormat="1" applyFont="1" applyFill="1" applyBorder="1" applyAlignment="1">
      <x:alignment vertical="center"/>
    </x:xf>
    <x:xf numFmtId="0" fontId="40" fillId="35" borderId="5" xfId="0" applyNumberFormat="1" applyFont="1" applyFill="1" applyBorder="1" applyAlignment="1">
      <x:alignment vertical="center" wrapText="1"/>
    </x:xf>
    <x:xf numFmtId="0" fontId="45" fillId="35" borderId="0" xfId="0" applyNumberFormat="1" applyFont="1" applyFill="1" applyBorder="1" applyAlignment="1">
      <x:alignment vertical="center"/>
    </x:xf>
    <x:xf numFmtId="0" fontId="47" fillId="35" borderId="0" xfId="0" applyNumberFormat="1" applyFont="1" applyFill="1" applyBorder="1" applyAlignment="1">
      <x:alignment vertical="center"/>
    </x:xf>
    <x:xf numFmtId="0" fontId="47" fillId="35" borderId="16" xfId="0" applyNumberFormat="1" applyFont="1" applyFill="1" applyBorder="1" applyAlignment="1">
      <x:alignment vertical="center"/>
    </x:xf>
    <x:xf numFmtId="0" fontId="47" fillId="35" borderId="16" xfId="0" applyNumberFormat="1" applyFont="1" applyFill="1" applyBorder="1" applyAlignment="1">
      <x:alignment vertical="center" wrapText="1"/>
    </x:xf>
    <x:xf numFmtId="0" fontId="47" fillId="35" borderId="16" xfId="0" applyNumberFormat="1" applyFont="1" applyFill="1" applyBorder="1" applyAlignment="1">
      <x:alignment horizontal="center" vertical="center" wrapText="1"/>
    </x:xf>
    <x:xf numFmtId="0" fontId="5" fillId="0" borderId="4" xfId="0" applyNumberFormat="1" applyFont="1" applyFill="1" applyBorder="1" applyAlignment="1">
      <x:alignment horizontal="center" vertical="top" wrapText="1"/>
    </x:xf>
    <x:xf numFmtId="0" fontId="50" fillId="0" borderId="4" xfId="0" applyNumberFormat="1" applyFont="1" applyFill="1" applyBorder="1" applyAlignment="1">
      <x:alignment horizontal="center" vertical="top" wrapText="1"/>
    </x:xf>
    <x:xf numFmtId="0" fontId="7" fillId="0" borderId="4" xfId="0" applyNumberFormat="1" applyFont="1" applyFill="1" applyBorder="1" applyAlignment="1">
      <x:alignment horizontal="center" vertical="top" wrapText="1"/>
    </x:xf>
    <x:xf numFmtId="0" fontId="51" fillId="0" borderId="4" xfId="0" applyNumberFormat="1" applyFont="1" applyFill="1" applyBorder="1" applyAlignment="1">
      <x:alignment horizontal="center" vertical="top" wrapText="1"/>
    </x:xf>
    <x:xf numFmtId="0" fontId="8" fillId="0" borderId="4" xfId="0" applyNumberFormat="1" applyFont="1" applyFill="1" applyBorder="1" applyAlignment="1">
      <x:alignment horizontal="center" vertical="top" wrapText="1"/>
    </x:xf>
    <x:xf numFmtId="0" fontId="46" fillId="0" borderId="4" xfId="0" applyNumberFormat="1" applyFont="1" applyFill="1" applyBorder="1" applyAlignment="1">
      <x:alignment horizontal="center" vertical="top" wrapText="1"/>
    </x:xf>
    <x:xf numFmtId="0" fontId="50" fillId="35" borderId="4" xfId="0" applyNumberFormat="1" applyFont="1" applyFill="1" applyBorder="1" applyAlignment="1">
      <x:alignment horizontal="center" vertical="top" wrapText="1"/>
    </x:xf>
    <x:xf numFmtId="0" fontId="46" fillId="35" borderId="16" xfId="0" applyNumberFormat="1" applyFont="1" applyFill="1" applyBorder="1" applyAlignment="1">
      <x:alignment horizontal="center" vertical="center" wrapText="1"/>
    </x:xf>
    <x:xf numFmtId="0" fontId="7" fillId="35" borderId="4" xfId="0" applyNumberFormat="1" applyFont="1" applyFill="1" applyBorder="1" applyAlignment="1">
      <x:alignment horizontal="center" vertical="top" wrapText="1"/>
    </x:xf>
    <x:xf numFmtId="0" fontId="8" fillId="35" borderId="16" xfId="0" applyNumberFormat="1" applyFont="1" applyFill="1" applyBorder="1" applyAlignment="1">
      <x:alignment horizontal="center" vertical="center" wrapText="1"/>
    </x:xf>
    <x:xf numFmtId="0" fontId="0" fillId="36" borderId="0" xfId="0" applyNumberFormat="1" applyFont="1" applyFill="1" applyBorder="1" applyAlignment="1">
      <x:alignment vertical="center"/>
    </x:xf>
    <x:xf numFmtId="0" fontId="52" fillId="36" borderId="0" xfId="0" applyNumberFormat="1" applyFont="1" applyFill="1" applyBorder="1" applyAlignment="1">
      <x:alignment vertical="center"/>
    </x:xf>
    <x:xf numFmtId="0" fontId="52" fillId="36" borderId="0" xfId="0" applyNumberFormat="1" applyFont="1" applyFill="1" applyBorder="1" applyAlignment="1">
      <x:alignment horizontal="left" vertical="center"/>
    </x:xf>
    <x:xf numFmtId="0" fontId="0" fillId="37" borderId="0" xfId="0" applyNumberFormat="1" applyFont="1" applyFill="1" applyBorder="1" applyAlignment="1">
      <x:alignment vertical="center"/>
    </x:xf>
    <x:xf numFmtId="0" fontId="53" fillId="37" borderId="0" xfId="0" applyNumberFormat="1" applyFont="1" applyFill="1" applyBorder="1" applyAlignment="1">
      <x:alignment vertical="center"/>
    </x:xf>
    <x:xf numFmtId="0" fontId="53" fillId="37" borderId="0" xfId="0" applyNumberFormat="1" applyFont="1" applyFill="1" applyBorder="1" applyAlignment="1">
      <x:alignment vertical="center" wrapText="1"/>
    </x:xf>
    <x:xf numFmtId="0" fontId="0" fillId="38" borderId="0" xfId="0" applyNumberFormat="1" applyFont="1" applyFill="1" applyBorder="1" applyAlignment="1">
      <x:alignment vertical="center"/>
    </x:xf>
    <x:xf numFmtId="0" fontId="54" fillId="38" borderId="0" xfId="0" applyNumberFormat="1" applyFont="1" applyFill="1" applyBorder="1" applyAlignment="1">
      <x:alignment vertical="center"/>
    </x:xf>
    <x:xf numFmtId="0" fontId="54" fillId="38" borderId="17" xfId="0" applyNumberFormat="1" applyFont="1" applyFill="1" applyBorder="1" applyAlignment="1">
      <x:alignment vertical="center"/>
    </x:xf>
    <x:xf numFmtId="0" fontId="54" fillId="38" borderId="18" xfId="0" applyNumberFormat="1" applyFont="1" applyFill="1" applyBorder="1" applyAlignment="1">
      <x:alignment vertical="center"/>
    </x:xf>
    <x:xf numFmtId="0" fontId="54" fillId="38" borderId="19" xfId="0" applyNumberFormat="1" applyFont="1" applyFill="1" applyBorder="1" applyAlignment="1">
      <x:alignment vertical="center"/>
    </x:xf>
    <x:xf numFmtId="0" fontId="55" fillId="0" borderId="0" xfId="0" applyNumberFormat="1" applyFont="1" applyFill="1" applyBorder="1" applyAlignment="1">
      <x:alignment vertical="center"/>
    </x:xf>
    <x:xf numFmtId="0" fontId="55" fillId="0" borderId="20" xfId="0" applyNumberFormat="1" applyFont="1" applyFill="1" applyBorder="1" applyAlignment="1">
      <x:alignment vertical="center"/>
    </x:xf>
    <x:xf numFmtId="0" fontId="55" fillId="0" borderId="21" xfId="0" applyNumberFormat="1" applyFont="1" applyFill="1" applyBorder="1" applyAlignment="1">
      <x:alignment vertical="center"/>
    </x:xf>
    <x:xf numFmtId="0" fontId="55" fillId="0" borderId="22" xfId="0" applyNumberFormat="1" applyFont="1" applyFill="1" applyBorder="1" applyAlignment="1">
      <x:alignment vertical="center"/>
    </x:xf>
    <x:xf numFmtId="0" fontId="0" fillId="39" borderId="0" xfId="0" applyNumberFormat="1" applyFont="1" applyFill="1" applyBorder="1" applyAlignment="1">
      <x:alignment vertical="center"/>
    </x:xf>
    <x:xf numFmtId="0" fontId="56" fillId="39" borderId="0" xfId="0" applyNumberFormat="1" applyFont="1" applyFill="1" applyBorder="1" applyAlignment="1">
      <x:alignment vertical="center"/>
    </x:xf>
    <x:xf numFmtId="0" fontId="56" fillId="39" borderId="23" xfId="0" applyNumberFormat="1" applyFont="1" applyFill="1" applyBorder="1" applyAlignment="1">
      <x:alignment vertical="center"/>
    </x:xf>
    <x:xf numFmtId="0" fontId="56" fillId="39" borderId="24" xfId="0" applyNumberFormat="1" applyFont="1" applyFill="1" applyBorder="1" applyAlignment="1">
      <x:alignment vertical="center"/>
    </x:xf>
    <x:xf numFmtId="0" fontId="56" fillId="39" borderId="25" xfId="0" applyNumberFormat="1" applyFont="1" applyFill="1" applyBorder="1" applyAlignment="1">
      <x:alignment vertical="center"/>
    </x:xf>
    <x:xf numFmtId="0" fontId="0" fillId="0" borderId="20" xfId="0" applyNumberFormat="1" applyFont="1" applyFill="1" applyBorder="1" applyAlignment="1">
      <x:alignment vertical="center"/>
    </x:xf>
    <x:xf numFmtId="0" fontId="0" fillId="0" borderId="21" xfId="0" applyNumberFormat="1" applyFont="1" applyFill="1" applyBorder="1" applyAlignment="1">
      <x:alignment vertical="center"/>
    </x:xf>
    <x:xf numFmtId="0" fontId="0" fillId="0" borderId="22" xfId="0" applyNumberFormat="1" applyFont="1" applyFill="1" applyBorder="1" applyAlignment="1">
      <x:alignment vertical="center"/>
    </x:xf>
    <x:xf numFmtId="200" fontId="55" fillId="0" borderId="20" xfId="0" applyNumberFormat="1" applyFont="1" applyFill="1" applyBorder="1" applyAlignment="1">
      <x:alignment vertical="center"/>
    </x:xf>
    <x:xf numFmtId="200" fontId="55" fillId="0" borderId="21" xfId="0" applyNumberFormat="1" applyFont="1" applyFill="1" applyBorder="1" applyAlignment="1">
      <x:alignment vertical="center"/>
    </x:xf>
    <x:xf numFmtId="200" fontId="55" fillId="0" borderId="22" xfId="0" applyNumberFormat="1" applyFont="1" applyFill="1" applyBorder="1" applyAlignment="1">
      <x:alignment vertical="center"/>
    </x:xf>
    <x:xf numFmtId="201" fontId="55" fillId="0" borderId="20" xfId="0" applyNumberFormat="1" applyFont="1" applyFill="1" applyBorder="1" applyAlignment="1">
      <x:alignment vertical="center"/>
    </x:xf>
    <x:xf numFmtId="201" fontId="55" fillId="0" borderId="21" xfId="0" applyNumberFormat="1" applyFont="1" applyFill="1" applyBorder="1" applyAlignment="1">
      <x:alignment vertical="center"/>
    </x:xf>
    <x:xf numFmtId="201" fontId="55" fillId="0" borderId="22" xfId="0" applyNumberFormat="1" applyFont="1" applyFill="1" applyBorder="1" applyAlignment="1">
      <x:alignment vertical="center"/>
    </x:xf>
    <x:xf numFmtId="200" fontId="56" fillId="39" borderId="25" xfId="0" applyNumberFormat="1" applyFont="1" applyFill="1" applyBorder="1" applyAlignment="1">
      <x:alignment vertical="center"/>
    </x:xf>
    <x:xf numFmtId="0" fontId="54" fillId="38" borderId="17" xfId="0" applyNumberFormat="1" applyFont="1" applyFill="1" applyBorder="1" applyAlignment="1">
      <x:alignment vertical="center" wrapText="1"/>
    </x:xf>
    <x:xf numFmtId="0" fontId="54" fillId="38" borderId="18" xfId="0" applyNumberFormat="1" applyFont="1" applyFill="1" applyBorder="1" applyAlignment="1">
      <x:alignment vertical="center" wrapText="1"/>
    </x:xf>
    <x:xf numFmtId="0" fontId="54" fillId="38" borderId="19" xfId="0" applyNumberFormat="1" applyFont="1" applyFill="1" applyBorder="1" applyAlignment="1">
      <x:alignment vertical="center" wrapText="1"/>
    </x:xf>
    <x:xf numFmtId="0" fontId="55" fillId="0" borderId="20" xfId="0" applyNumberFormat="1" applyFont="1" applyFill="1" applyBorder="1" applyAlignment="1">
      <x:alignment vertical="center" wrapText="1"/>
    </x:xf>
    <x:xf numFmtId="200" fontId="55" fillId="0" borderId="20" xfId="0" applyNumberFormat="1" applyFont="1" applyFill="1" applyBorder="1" applyAlignment="1">
      <x:alignment vertical="center" wrapText="1"/>
    </x:xf>
    <x:xf numFmtId="201" fontId="55" fillId="0" borderId="20" xfId="0" applyNumberFormat="1" applyFont="1" applyFill="1" applyBorder="1" applyAlignment="1">
      <x:alignment vertical="center" wrapText="1"/>
    </x:xf>
    <x:xf numFmtId="0" fontId="55" fillId="0" borderId="21" xfId="0" applyNumberFormat="1" applyFont="1" applyFill="1" applyBorder="1" applyAlignment="1">
      <x:alignment vertical="center" wrapText="1"/>
    </x:xf>
    <x:xf numFmtId="200" fontId="55" fillId="0" borderId="21" xfId="0" applyNumberFormat="1" applyFont="1" applyFill="1" applyBorder="1" applyAlignment="1">
      <x:alignment vertical="center" wrapText="1"/>
    </x:xf>
    <x:xf numFmtId="201" fontId="55" fillId="0" borderId="21" xfId="0" applyNumberFormat="1" applyFont="1" applyFill="1" applyBorder="1" applyAlignment="1">
      <x:alignment vertical="center" wrapText="1"/>
    </x:xf>
    <x:xf numFmtId="0" fontId="55" fillId="0" borderId="22" xfId="0" applyNumberFormat="1" applyFont="1" applyFill="1" applyBorder="1" applyAlignment="1">
      <x:alignment vertical="center" wrapText="1"/>
    </x:xf>
    <x:xf numFmtId="200" fontId="55" fillId="0" borderId="22" xfId="0" applyNumberFormat="1" applyFont="1" applyFill="1" applyBorder="1" applyAlignment="1">
      <x:alignment vertical="center" wrapText="1"/>
    </x:xf>
    <x:xf numFmtId="201" fontId="55" fillId="0" borderId="22" xfId="0" applyNumberFormat="1" applyFont="1" applyFill="1" applyBorder="1" applyAlignment="1">
      <x:alignment vertical="center" wrapText="1"/>
    </x:xf>
    <x:xf numFmtId="0" fontId="0" fillId="0" borderId="0" xfId="0" applyNumberFormat="1" applyFont="1" applyFill="1" applyBorder="1" applyAlignment="1">
      <x:alignment vertical="center" wrapText="1"/>
    </x:xf>
    <x:xf numFmtId="0" fontId="56" fillId="39" borderId="23" xfId="0" applyNumberFormat="1" applyFont="1" applyFill="1" applyBorder="1" applyAlignment="1">
      <x:alignment vertical="center" wrapText="1"/>
    </x:xf>
    <x:xf numFmtId="0" fontId="56" fillId="39" borderId="24" xfId="0" applyNumberFormat="1" applyFont="1" applyFill="1" applyBorder="1" applyAlignment="1">
      <x:alignment vertical="center" wrapText="1"/>
    </x:xf>
    <x:xf numFmtId="200" fontId="56" fillId="39" borderId="25" xfId="0" applyNumberFormat="1" applyFont="1" applyFill="1" applyBorder="1" applyAlignment="1">
      <x:alignment vertical="center" wrapText="1"/>
    </x:xf>
    <x:xf numFmtId="0" fontId="0" fillId="0" borderId="20" xfId="0" applyNumberFormat="1" applyFont="1" applyFill="1" applyBorder="1" applyAlignment="1">
      <x:alignment vertical="center" wrapText="1"/>
    </x:xf>
    <x:xf numFmtId="0" fontId="0" fillId="0" borderId="21" xfId="0" applyNumberFormat="1" applyFont="1" applyFill="1" applyBorder="1" applyAlignment="1">
      <x:alignment vertical="center" wrapText="1"/>
    </x:xf>
    <x:xf numFmtId="0" fontId="0" fillId="0" borderId="22" xfId="0" applyNumberFormat="1" applyFont="1" applyFill="1" applyBorder="1" applyAlignment="1">
      <x:alignment vertical="center" wrapText="1"/>
    </x:xf>
  </x:cellXfs>
  <x:cellStyles count="49">
    <x:cellStyle name="常规" xfId="0"/>
    <x:cellStyle name="千位分隔" xfId="1"/>
    <x:cellStyle name="货币" xfId="2"/>
    <x:cellStyle name="百分比" xfId="3"/>
    <x:cellStyle name="千位分隔[0]" xfId="4"/>
    <x:cellStyle name="货币[0]" xfId="5"/>
    <x:cellStyle name="超链接" xfId="6"/>
    <x:cellStyle name="已访问的超链接" xfId="7"/>
    <x:cellStyle name="注释" xfId="8"/>
    <x:cellStyle name="警告文本" xfId="9"/>
    <x:cellStyle name="标题" xfId="10"/>
    <x:cellStyle name="解释性文本" xfId="11"/>
    <x:cellStyle name="标题 1" xfId="12"/>
    <x:cellStyle name="标题 2" xfId="13"/>
    <x:cellStyle name="标题 3" xfId="14"/>
    <x:cellStyle name="标题 4" xfId="15"/>
    <x:cellStyle name="输入" xfId="16"/>
    <x:cellStyle name="输出" xfId="17"/>
    <x:cellStyle name="计算" xfId="18"/>
    <x:cellStyle name="检查单元格" xfId="19"/>
    <x:cellStyle name="链接单元格" xfId="20"/>
    <x:cellStyle name="汇总" xfId="21"/>
    <x:cellStyle name="好" xfId="22"/>
    <x:cellStyle name="差" xfId="23"/>
    <x:cellStyle name="适中" xfId="24"/>
    <x:cellStyle name="强调文字颜色 1" xfId="25"/>
    <x:cellStyle name="20% - 强调文字颜色 1" xfId="26"/>
    <x:cellStyle name="40% - 强调文字颜色 1" xfId="27"/>
    <x:cellStyle name="60% - 强调文字颜色 1" xfId="28"/>
    <x:cellStyle name="强调文字颜色 2" xfId="29"/>
    <x:cellStyle name="20% - 强调文字颜色 2" xfId="30"/>
    <x:cellStyle name="40% - 强调文字颜色 2" xfId="31"/>
    <x:cellStyle name="60% - 强调文字颜色 2" xfId="32"/>
    <x:cellStyle name="强调文字颜色 3" xfId="33"/>
    <x:cellStyle name="20% - 强调文字颜色 3" xfId="34"/>
    <x:cellStyle name="40% - 强调文字颜色 3" xfId="35"/>
    <x:cellStyle name="60% - 强调文字颜色 3" xfId="36"/>
    <x:cellStyle name="强调文字颜色 4" xfId="37"/>
    <x:cellStyle name="20% - 强调文字颜色 4" xfId="38"/>
    <x:cellStyle name="40% - 强调文字颜色 4" xfId="39"/>
    <x:cellStyle name="60% - 强调文字颜色 4" xfId="40"/>
    <x:cellStyle name="强调文字颜色 5" xfId="41"/>
    <x:cellStyle name="20% - 强调文字颜色 5" xfId="42"/>
    <x:cellStyle name="40% - 强调文字颜色 5" xfId="43"/>
    <x:cellStyle name="60% - 强调文字颜色 5" xfId="44"/>
    <x:cellStyle name="强调文字颜色 6" xfId="45"/>
    <x:cellStyle name="20% - 强调文字颜色 6" xfId="46"/>
    <x:cellStyle name="40% - 强调文字颜色 6" xfId="47"/>
    <x:cellStyle name="60% - 强调文字颜色 6" xfId="48"/>
  </x:cellStyles>
  <x:dxfs count="17">
    <x:dxf>
      <x:fill>
        <x:patternFill>
          <x:bgColor theme="4" tint="0.79998"/>
        </x:patternFill>
      </x:fill>
    </x:dxf>
    <x:dxf>
      <x:fill>
        <x:patternFill>
          <x:bgColor theme="4" tint="0.79998"/>
        </x:patternFill>
      </x:fill>
    </x:dxf>
    <x:dxf>
      <x:font>
        <x:b/>
        <x:color theme="1"/>
      </x:font>
    </x:dxf>
    <x:dxf>
      <x:font>
        <x:b/>
        <x:color theme="1"/>
      </x:font>
    </x:dxf>
    <x:dxf>
      <x:font>
        <x:b/>
        <x:color theme="1"/>
      </x:font>
      <x:border>
        <x:top style="double">
          <x:color theme="4"/>
        </x:top>
      </x:border>
    </x:dxf>
    <x:dxf>
      <x:font>
        <x:b/>
        <x:color theme="0"/>
      </x:font>
      <x:fill>
        <x:patternFill>
          <x:bgColor theme="4"/>
        </x:patternFill>
      </x:fill>
    </x:dxf>
    <x:dxf>
      <x:font>
        <x:color theme="1"/>
      </x:font>
      <x:border>
        <x:left style="thin">
          <x:color theme="4"/>
        </x:left>
        <x:right style="thin">
          <x:color theme="4"/>
        </x:right>
        <x:top style="thin">
          <x:color theme="4"/>
        </x:top>
        <x:bottom style="thin">
          <x:color theme="4"/>
        </x:bottom>
      </x:border>
    </x:dxf>
    <x:dxf>
      <x:fill>
        <x:patternFill>
          <x:bgColor theme="4" tint="0.79998"/>
        </x:patternFill>
      </x:fill>
      <x:border>
        <x:bottom style="thin">
          <x:color theme="4" tint="0.39998"/>
        </x:bottom>
      </x:border>
    </x:dxf>
    <x:dxf>
      <x:font>
        <x:b/>
      </x:font>
      <x:fill>
        <x:patternFill>
          <x:bgColor theme="4" tint="0.79998"/>
        </x:patternFill>
      </x:fill>
      <x:border>
        <x:bottom style="thin">
          <x:color theme="4" tint="0.39998"/>
        </x:bottom>
      </x:border>
    </x:dxf>
    <x:dxf>
      <x:font>
        <x:color theme="1"/>
      </x:font>
    </x:dxf>
    <x:dxf>
      <x:font>
        <x:color theme="1"/>
      </x:font>
      <x:border>
        <x:bottom style="thin">
          <x:color theme="4" tint="0.39998"/>
        </x:bottom>
      </x:border>
    </x:dxf>
    <x:dxf>
      <x:font>
        <x:b/>
        <x:color theme="1"/>
      </x:font>
    </x:dxf>
    <x:dxf>
      <x:font>
        <x:b/>
        <x:color theme="1"/>
      </x:font>
      <x:border>
        <x:top style="thin">
          <x:color theme="4"/>
        </x:top>
        <x:bottom style="thin">
          <x:color theme="4"/>
        </x:bottom>
      </x:border>
    </x:dxf>
    <x:dxf>
      <x:fill>
        <x:patternFill>
          <x:bgColor theme="4" tint="0.79998"/>
        </x:patternFill>
      </x:fill>
    </x:dxf>
    <x:dxf>
      <x:fill>
        <x:patternFill>
          <x:bgColor theme="4" tint="0.79998"/>
        </x:patternFill>
      </x:fill>
    </x:dxf>
    <x:dxf>
      <x:font>
        <x:b/>
        <x:color theme="1"/>
      </x:font>
      <x:fill>
        <x:patternFill>
          <x:bgColor theme="4" tint="0.79998"/>
        </x:patternFill>
      </x:fill>
      <x:border>
        <x:top style="thin">
          <x:color theme="4" tint="0.39998"/>
        </x:top>
        <x:bottom style="thin">
          <x:color theme="4" tint="0.39998"/>
        </x:bottom>
      </x:border>
    </x:dxf>
    <x:dxf>
      <x:font>
        <x:b/>
        <x:color theme="1"/>
      </x:font>
      <x:fill>
        <x:patternFill>
          <x:bgColor theme="4" tint="0.79998"/>
        </x:patternFill>
      </x:fill>
      <x:border>
        <x:bottom style="thin">
          <x:color theme="4" tint="0.39998"/>
        </x:bottom>
      </x:border>
    </x:dxf>
  </x:dxfs>
</x:styleSheet>
</file>

<file path=xl/_rels/workbook.xml.rels>&#65279;<?xml version="1.0" encoding="utf-8"?><Relationships xmlns="http://schemas.openxmlformats.org/package/2006/relationships"><Relationship Type="http://schemas.openxmlformats.org/officeDocument/2006/relationships/styles" Target="/xl/styles.xml" Id="Rd94f2b3562b04f77" /><Relationship Type="http://schemas.openxmlformats.org/officeDocument/2006/relationships/theme" Target="/xl/theme/theme1.xml" Id="R3470ab29c1f7480c" /><Relationship Type="http://schemas.openxmlformats.org/officeDocument/2006/relationships/sharedStrings" Target="/xl/sharedStrings.xml" Id="R802cc16c68344a97" /><Relationship Type="http://schemas.openxmlformats.org/officeDocument/2006/relationships/worksheet" Target="/xl/worksheets/sheet1.xml" Id="Rfd8ed677b98540fc" /><Relationship Type="http://schemas.openxmlformats.org/officeDocument/2006/relationships/worksheet" Target="/xl/worksheets/sheet2.xml" Id="R090d106b740b499a" /><Relationship Type="http://schemas.microsoft.com/office/2017/10/relationships/person" Target="/xl/persons/person.xml" Id="Rc770e9ff5df34d1f" /></Relationships>
</file>

<file path=xl/persons/person.xml><?xml version="1.0" encoding="utf-8"?>
<xltc:personList xmlns:xltc="http://schemas.microsoft.com/office/spreadsheetml/2018/threadedcomments">
  <xltc:person displayName="User" id="{CD203006-1D62-4DA4-9446-416593376679}"/>
</xltc:personList>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Office">
      <a:majorFont>
        <a:latin typeface="Calibri Light"/>
        <a:ea typeface="Calibri Light"/>
        <a:cs typeface="Calibri Light"/>
      </a:majorFont>
      <a:minorFont>
        <a:latin typeface="Calibri"/>
        <a:ea typeface="Calibri"/>
        <a:cs typeface="Calibri"/>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gs>
            <a:gs pos="100000">
              <a:schemeClr val="phClr"/>
            </a:gs>
          </a:gsLst>
          <a:lin ang="2700000" scaled="0"/>
        </a:gradFill>
      </a:fillStyleLst>
      <a:lnStyleLst>
        <a:ln w="12700">
          <a:solidFill>
            <a:schemeClr val="phClr"/>
          </a:solidFill>
          <a:prstDash val="solid"/>
        </a:ln>
        <a:ln w="12700">
          <a:solidFill>
            <a:schemeClr val="phClr"/>
          </a:solidFill>
          <a:prstDash val="solid"/>
        </a:ln>
        <a:ln w="12700">
          <a:gradFill>
            <a:gsLst>
              <a:gs pos="0">
                <a:schemeClr val="phClr"/>
              </a:gs>
              <a:gs pos="100000">
                <a:schemeClr val="phClr"/>
              </a:gs>
            </a:gsLst>
            <a:lin ang="2700000" scaled="1"/>
          </a:gradFill>
          <a:prstDash val="solid"/>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threadedcomments/threadedcomment.xml><?xml version="1.0" encoding="utf-8"?>
<xltc:ThreadedComments xmlns:xltc="http://schemas.microsoft.com/office/spreadsheetml/2018/threadedcomments">
  <xltc:threadedComment ref="A2" dT="2026-07-23T07:04:54.708" personId="{CD203006-1D62-4DA4-9446-416593376679}" id="{8C02F7B0-B0A4-B42D-CA20-3A044FBE6DE0}">
    <xltc:text>Bilibili counts comments; Heybox counts public-search-visible posts. These units are not a platform-wide cross-platform total.</xltc:text>
  </xltc:threadedComment>
</xltc:ThreadedComments>
</file>

<file path=xl/worksheets/_rels/sheet1.xml.rels>&#65279;<?xml version="1.0" encoding="utf-8"?><Relationships xmlns="http://schemas.openxmlformats.org/package/2006/relationships"><Relationship Type="http://schemas.openxmlformats.org/officeDocument/2006/relationships/comments" Target="/xl/comments1.xml" Id="Rf52c8778f5494d32" /><Relationship Type="http://schemas.openxmlformats.org/officeDocument/2006/relationships/vmlDrawing" Target="/xl/drawings/vmldrawing.vml" Id="R269f7846f1334776" /><Relationship Type="http://schemas.microsoft.com/office/2017/10/relationships/threadedComment" Target="/xl/threadedcomments/threadedcomment.xml" Id="R8289f9d4b9d74185" /></Relationships>
</file>

<file path=xl/worksheets/sheet1.xml><?xml version="1.0" encoding="utf-8"?>
<x:worksheet xmlns:x="http://schemas.openxmlformats.org/spreadsheetml/2006/main">
  <x:sheetFormatPr defaultColWidth="9.142857551574707" defaultRowHeight="16.799999237060547"/>
  <x:cols>
    <x:col min="1" max="1" width="41.50893020629883" customWidth="1"/>
    <x:col min="2" max="2" width="12.642857551574707" customWidth="1"/>
  </x:cols>
  <x:sheetData>
    <x:row r="1" customHeight="1">
      <x:c r="A1" s="1" t="str">
        <x:v>CHINA · W29</x:v>
      </x:c>
      <x:c r="B1" s="2"/>
    </x:row>
    <x:row r="2" ht="19.75" customHeight="1">
      <x:c r="A2" s="3" t="str">
        <x:v>Bounded sample: 186 Bilibili comments (105 mapped) | 12 Heybox search-visible posts (10 mapped) | 2026-07-13—2026-07-19</x:v>
      </x:c>
      <x:c r="B2" s="4"/>
    </x:row>
    <x:row r="3" ht="17.549999237060547">
      <x:c r="A3" s="5" t="str">
        <x:v>TOPIC / DRIVER</x:v>
      </x:c>
      <x:c r="B3" s="6" t="str">
        <x:v>MODEL SENTIMENT</x:v>
      </x:c>
    </x:row>
    <x:row r="4" ht="18.299999237060547" customHeight="1">
      <x:c r="A4" s="7" t="str">
        <x:v>Season Update Friction</x:v>
      </x:c>
      <x:c r="B4" s="64" t="str">
        <x:v>Negative</x:v>
      </x:c>
    </x:row>
    <x:row r="5" ht="102.75">
      <x:c r="A5" s="9" t="str">
        <x:v>Players discussed update reliability, driver conflicts and changes that increasingly favor experienced users. Repeated technical friction and concerns about reduced accessibility outweighed positive reactions in this bounded Bilibili sample.</x:v>
      </x:c>
      <x:c r="B5" s="8"/>
    </x:row>
    <x:row r="6" ht="42.5" customHeight="1">
      <x:c r="A6" s="7" t="str">
        <x:v>Ranked Matchmaking Pressure</x:v>
      </x:c>
      <x:c r="B6" s="64" t="str">
        <x:v>Negative</x:v>
      </x:c>
    </x:row>
    <x:row r="7" ht="129.75">
      <x:c r="A7" s="9" t="str">
        <x:v>Ranked players described forced solo queue, weak team coordination and uneven lobbies as major pressure points. Positive progression stories remained visible, but frustration was slightly more common in the mapped sample.</x:v>
      </x:c>
      <x:c r="B7" s="10"/>
    </x:row>
    <x:row r="8" ht="29.5" customHeight="1">
      <x:c r="A8" s="7" t="str">
        <x:v>Cyberpunk Collaboration</x:v>
      </x:c>
      <x:c r="B8" s="64" t="str">
        <x:v>Negative</x:v>
      </x:c>
    </x:row>
    <x:row r="9" ht="175.75">
      <x:c r="A9" s="12" t="str">
        <x:v>The Cyberpunk collaboration drove the strongest cross-platform attention through reward guides, pricing questions and launch updates. Bilibili reactions were notably negative, while Heybox posts concentrated on claiming rewards and purchase planning.</x:v>
      </x:c>
      <x:c r="B9" s="11"/>
    </x:row>
    <x:row r="10" ht="17.549999237060547">
      <x:c r="A10" s="9"/>
      <x:c r="B10" s="11"/>
    </x:row>
    <x:row r="11" ht="42.5" customHeight="1">
      <x:c r="A11" s="7" t="str">
        <x:v>Creator Performance Interest</x:v>
      </x:c>
      <x:c r="B11" s="60" t="str">
        <x:v>Positive</x:v>
      </x:c>
    </x:row>
    <x:row r="12" ht="83.75">
      <x:c r="A12" s="9" t="str">
        <x:v>Viewers showed positive interest in streamer technique, controller smoothness and professional play. Questions about hardware and execution helped sustain engagement, with favorable reactions exceeding negative discussion in the sample.</x:v>
      </x:c>
      <x:c r="B12" s="8"/>
    </x:row>
    <x:row r="13" ht="42.5" customHeight="1">
      <x:c r="A13" s="7" t="str">
        <x:v>Cosmetic Experience Friction</x:v>
      </x:c>
      <x:c r="B13" s="60" t="str">
        <x:v>Positive</x:v>
      </x:c>
    </x:row>
    <x:row r="14" ht="111.75">
      <x:c r="A14" s="13" t="str">
        <x:v>Cosmetic and interface conversations mixed appreciation with complaints about latency, missing match history and anti-cheat quality. Positive model labels led narrowly, but the evidence remains mixed and sample-limited.</x:v>
      </x:c>
      <x:c r="B14" s="11"/>
    </x:row>
    <x:row r="15" ht="42.5" customHeight="1">
      <x:c r="A15" s="7" t="str">
        <x:v>Ranked Version Discussion</x:v>
      </x:c>
      <x:c r="B15" s="60" t="str">
        <x:v>Positive</x:v>
      </x:c>
    </x:row>
    <x:row r="16" ht="157.75">
      <x:c r="A16" s="9" t="str">
        <x:v>Version, Ranked and tournament comments leaned positive around workable tactics and mechanical control. A Heybox cheating complaint added risk context, but it represents one search-visible post rather than platform-wide prevalence.</x:v>
      </x:c>
      <x:c r="B16" s="11"/>
    </x:row>
    <x:row r="17" ht="18.299999237060547" customHeight="1">
      <x:c r="A17" s="7" t="str">
        <x:v>Legend Ability Balance</x:v>
      </x:c>
      <x:c r="B17" s="64" t="str">
        <x:v>Negative</x:v>
      </x:c>
    </x:row>
    <x:row r="18" ht="148.75">
      <x:c r="A18" s="9" t="str">
        <x:v>Players compared ultimate designs, controller accessories and potential ability changes. Negative reactions formed the largest single sentiment group, although positive and neutral responses together prevented a clear consensus.</x:v>
      </x:c>
      <x:c r="B18" s="10"/>
    </x:row>
    <x:row r="19" ht="29.5" customHeight="1">
      <x:c r="A19" s="7" t="str">
        <x:v>Mobility Strength Debate</x:v>
      </x:c>
      <x:c r="B19" s="62" t="str">
        <x:v>Neutral</x:v>
      </x:c>
    </x:row>
    <x:row r="20" ht="148.75">
      <x:c r="A20" s="9" t="str">
        <x:v>Discussion of mobile Legends emphasized strong movement ceilings and efficient double-ultimate play. Positive and neutral model labels were evenly split, suggesting interest without a dominant risk signal.</x:v>
      </x:c>
      <x:c r="B20" s="11"/>
    </x:row>
    <x:row r="21" ht="29.5" customHeight="1">
      <x:c r="A21" s="21" t="str">
        <x:v>Settings Help Requests</x:v>
      </x:c>
      <x:c r="B21" s="68" t="str">
        <x:v>Neutral</x:v>
      </x:c>
    </x:row>
    <x:row r="22" ht="148.75" customHeight="1">
      <x:c r="A22" s="27" t="str">
        <x:v>Players sought help with display resolution, controller configuration and unclear creator drama. All mapped Bilibili comments were model-labeled neutral, indicating practical information needs rather than a strong sentiment shift.</x:v>
      </x:c>
      <x:c r="B22" s="39"/>
    </x:row>
    <x:row r="23" ht="29.5" customHeight="1">
      <x:c r="A23" s="47" t="str">
        <x:v>Tournament Fairness Debate</x:v>
      </x:c>
      <x:c r="B23" s="69" t="str">
        <x:v>Negative</x:v>
      </x:c>
    </x:row>
    <x:row r="24" ht="148.75" customHeight="1">
      <x:c r="A24" s="54" t="str">
        <x:v>Tournament viewers questioned roster rules, award consistency and competitive fairness. Two-thirds of mapped comments were model-labeled negative, making this a review priority despite the small six-comment sample.</x:v>
      </x:c>
      <x:c r="B24" s="39"/>
    </x:row>
  </x:sheetData>
  <x:mergeCells>
    <x:mergeCell ref="A1:B1"/>
    <x:mergeCell ref="B4:B5"/>
    <x:mergeCell ref="B6:B7"/>
    <x:mergeCell ref="B8:B10"/>
    <x:mergeCell ref="B11:B12"/>
    <x:mergeCell ref="B13:B14"/>
    <x:mergeCell ref="B15:B16"/>
    <x:mergeCell ref="B17:B18"/>
    <x:mergeCell ref="B19:B20"/>
    <x:mergeCell ref="B21:B22"/>
    <x:mergeCell ref="B23:B24"/>
    <x:mergeCell ref="A2:B2"/>
  </x:mergeCells>
  <x:pageMargins left="0.7" right="0.7" top="0.75" bottom="0.75" header="0.3" footer="0.3"/>
  <x:legacyDrawing xmlns:r="http://schemas.openxmlformats.org/officeDocument/2006/relationships" r:id="R269f7846f1334776"/>
</x:worksheet>
</file>

<file path=xl/worksheets/sheet2.xml><?xml version="1.0" encoding="utf-8"?>
<x:worksheet xmlns:x="http://schemas.openxmlformats.org/spreadsheetml/2006/main">
  <x:sheetViews>
    <x:sheetView showGridLines="0" workbookViewId="0"/>
  </x:sheetViews>
  <x:sheetFormatPr defaultRowHeight="15"/>
  <x:cols>
    <x:col min="1" max="1" width="28" hidden="0" customWidth="1"/>
    <x:col min="2" max="2" width="17" hidden="0" customWidth="1"/>
    <x:col min="3" max="3" width="17" hidden="0" customWidth="1"/>
    <x:col min="4" max="4" width="24" hidden="0" customWidth="1"/>
    <x:col min="5" max="5" width="48" hidden="0" customWidth="1"/>
    <x:col min="6" max="6" width="12" hidden="0" customWidth="1"/>
    <x:col min="7" max="7" width="12" hidden="0" customWidth="1"/>
    <x:col min="8" max="8" width="16" hidden="0" customWidth="1"/>
    <x:col min="9" max="9" width="28" hidden="0" customWidth="1"/>
    <x:col min="10" max="10" width="28" hidden="0" customWidth="1"/>
  </x:cols>
  <x:sheetData>
    <x:row r="1" ht="28" customHeight="1">
      <x:c r="A1" s="72" t="str">
        <x:v>W29 SOURCE DATA AND QUALITY CHECKS</x:v>
      </x:c>
      <x:c r="B1" s="72"/>
      <x:c r="C1" s="72"/>
      <x:c r="D1" s="72"/>
      <x:c r="E1" s="72"/>
      <x:c r="F1" s="72"/>
      <x:c r="G1" s="72"/>
      <x:c r="H1" s="72"/>
      <x:c r="I1" s="72"/>
      <x:c r="J1" s="72"/>
    </x:row>
    <x:row r="2" ht="34" customHeight="1">
      <x:c r="A2" s="75" t="str">
        <x:v>Model-only exploratory output. Bilibili comments and Heybox visible posts have different units and must not be added as a platform-wide total.</x:v>
      </x:c>
      <x:c r="B2" s="75"/>
      <x:c r="C2" s="75"/>
      <x:c r="D2" s="75"/>
      <x:c r="E2" s="75"/>
      <x:c r="F2" s="75"/>
      <x:c r="G2" s="75"/>
      <x:c r="H2" s="75"/>
      <x:c r="I2" s="75"/>
      <x:c r="J2" s="75"/>
    </x:row>
    <x:row r="4">
      <x:c r="A4" s="100" t="str">
        <x:v>Topic</x:v>
      </x:c>
      <x:c r="B4" s="101" t="str">
        <x:v>Bilibili mapped comments</x:v>
      </x:c>
      <x:c r="C4" s="101" t="str">
        <x:v>Heybox visible posts</x:v>
      </x:c>
      <x:c r="D4" s="101" t="str">
        <x:v>Positive</x:v>
      </x:c>
      <x:c r="E4" s="101" t="str">
        <x:v>Neutral</x:v>
      </x:c>
      <x:c r="F4" s="101" t="str">
        <x:v>Negative</x:v>
      </x:c>
      <x:c r="G4" s="101" t="str">
        <x:v>Average score</x:v>
      </x:c>
      <x:c r="H4" s="101" t="str">
        <x:v>Model sentiment</x:v>
      </x:c>
      <x:c r="I4" s="101" t="str">
        <x:v>Bilibili source</x:v>
      </x:c>
      <x:c r="J4" s="102" t="str">
        <x:v>Heybox source</x:v>
      </x:c>
    </x:row>
    <x:row r="5">
      <x:c r="A5" s="103" t="str">
        <x:v>Season Update Friction</x:v>
      </x:c>
      <x:c r="B5" s="103" t="n">
        <x:v>20</x:v>
      </x:c>
      <x:c r="C5" s="103" t="n">
        <x:v>1</x:v>
      </x:c>
      <x:c r="D5" s="104" t="n">
        <x:v>0.3</x:v>
      </x:c>
      <x:c r="E5" s="104" t="n">
        <x:v>0.25</x:v>
      </x:c>
      <x:c r="F5" s="104" t="n">
        <x:v>0.45</x:v>
      </x:c>
      <x:c r="G5" s="105" t="n">
        <x:v>0.455451</x:v>
      </x:c>
      <x:c r="H5" s="103" t="str">
        <x:v>Negative</x:v>
      </x:c>
      <x:c r="I5" s="103" t="str">
        <x:v>https://www.bilibili.com</x:v>
      </x:c>
      <x:c r="J5" s="103" t="str">
        <x:v>https://www.xiaoheihe.cn</x:v>
      </x:c>
    </x:row>
    <x:row r="6">
      <x:c r="A6" s="106" t="str">
        <x:v>Ranked Matchmaking Pressure</x:v>
      </x:c>
      <x:c r="B6" s="106" t="n">
        <x:v>15</x:v>
      </x:c>
      <x:c r="C6" s="106" t="n">
        <x:v>1</x:v>
      </x:c>
      <x:c r="D6" s="107" t="n">
        <x:v>0.4</x:v>
      </x:c>
      <x:c r="E6" s="107" t="n">
        <x:v>0.1333</x:v>
      </x:c>
      <x:c r="F6" s="107" t="n">
        <x:v>0.4667</x:v>
      </x:c>
      <x:c r="G6" s="108" t="n">
        <x:v>0.500514</x:v>
      </x:c>
      <x:c r="H6" s="106" t="str">
        <x:v>Negative</x:v>
      </x:c>
      <x:c r="I6" s="106" t="str">
        <x:v>https://www.bilibili.com</x:v>
      </x:c>
      <x:c r="J6" s="106" t="str">
        <x:v>https://www.xiaoheihe.cn</x:v>
      </x:c>
    </x:row>
    <x:row r="7">
      <x:c r="A7" s="106" t="str">
        <x:v>Cyberpunk Collaboration</x:v>
      </x:c>
      <x:c r="B7" s="106" t="n">
        <x:v>10</x:v>
      </x:c>
      <x:c r="C7" s="106" t="n">
        <x:v>5</x:v>
      </x:c>
      <x:c r="D7" s="107" t="n">
        <x:v>0.3</x:v>
      </x:c>
      <x:c r="E7" s="107" t="n">
        <x:v>0</x:v>
      </x:c>
      <x:c r="F7" s="107" t="n">
        <x:v>0.7</x:v>
      </x:c>
      <x:c r="G7" s="108" t="n">
        <x:v>0.333191</x:v>
      </x:c>
      <x:c r="H7" s="106" t="str">
        <x:v>Negative</x:v>
      </x:c>
      <x:c r="I7" s="106" t="str">
        <x:v>https://www.bilibili.com</x:v>
      </x:c>
      <x:c r="J7" s="106" t="str">
        <x:v>https://www.xiaoheihe.cn</x:v>
      </x:c>
    </x:row>
    <x:row r="8">
      <x:c r="A8" s="106" t="str">
        <x:v>Creator Performance Interest</x:v>
      </x:c>
      <x:c r="B8" s="106" t="n">
        <x:v>11</x:v>
      </x:c>
      <x:c r="C8" s="106" t="n">
        <x:v>0</x:v>
      </x:c>
      <x:c r="D8" s="107" t="n">
        <x:v>0.5455</x:v>
      </x:c>
      <x:c r="E8" s="107" t="n">
        <x:v>0.1818</x:v>
      </x:c>
      <x:c r="F8" s="107" t="n">
        <x:v>0.2727</x:v>
      </x:c>
      <x:c r="G8" s="108" t="n">
        <x:v>0.541131</x:v>
      </x:c>
      <x:c r="H8" s="106" t="str">
        <x:v>Positive</x:v>
      </x:c>
      <x:c r="I8" s="106" t="str">
        <x:v>https://www.bilibili.com</x:v>
      </x:c>
      <x:c r="J8" s="106" t="str">
        <x:v>https://www.xiaoheihe.cn</x:v>
      </x:c>
    </x:row>
    <x:row r="9">
      <x:c r="A9" s="106" t="str">
        <x:v>Cosmetic Experience Friction</x:v>
      </x:c>
      <x:c r="B9" s="106" t="n">
        <x:v>7</x:v>
      </x:c>
      <x:c r="C9" s="106" t="n">
        <x:v>1</x:v>
      </x:c>
      <x:c r="D9" s="107" t="n">
        <x:v>0.5714</x:v>
      </x:c>
      <x:c r="E9" s="107" t="n">
        <x:v>0</x:v>
      </x:c>
      <x:c r="F9" s="107" t="n">
        <x:v>0.4286</x:v>
      </x:c>
      <x:c r="G9" s="108" t="n">
        <x:v>0.628618</x:v>
      </x:c>
      <x:c r="H9" s="106" t="str">
        <x:v>Positive</x:v>
      </x:c>
      <x:c r="I9" s="106" t="str">
        <x:v>https://www.bilibili.com</x:v>
      </x:c>
      <x:c r="J9" s="106" t="str">
        <x:v>https://www.xiaoheihe.cn</x:v>
      </x:c>
    </x:row>
    <x:row r="10">
      <x:c r="A10" s="106" t="str">
        <x:v>Ranked Version Discussion</x:v>
      </x:c>
      <x:c r="B10" s="106" t="n">
        <x:v>7</x:v>
      </x:c>
      <x:c r="C10" s="106" t="n">
        <x:v>1</x:v>
      </x:c>
      <x:c r="D10" s="107" t="n">
        <x:v>0.7143</x:v>
      </x:c>
      <x:c r="E10" s="107" t="n">
        <x:v>0</x:v>
      </x:c>
      <x:c r="F10" s="107" t="n">
        <x:v>0.2857</x:v>
      </x:c>
      <x:c r="G10" s="108" t="n">
        <x:v>0.645608</x:v>
      </x:c>
      <x:c r="H10" s="106" t="str">
        <x:v>Positive</x:v>
      </x:c>
      <x:c r="I10" s="106" t="str">
        <x:v>https://www.bilibili.com</x:v>
      </x:c>
      <x:c r="J10" s="106" t="str">
        <x:v>https://www.xiaoheihe.cn</x:v>
      </x:c>
    </x:row>
    <x:row r="11">
      <x:c r="A11" s="106" t="str">
        <x:v>Legend Ability Balance</x:v>
      </x:c>
      <x:c r="B11" s="106" t="n">
        <x:v>7</x:v>
      </x:c>
      <x:c r="C11" s="106" t="n">
        <x:v>0</x:v>
      </x:c>
      <x:c r="D11" s="107" t="n">
        <x:v>0.2857</x:v>
      </x:c>
      <x:c r="E11" s="107" t="n">
        <x:v>0.2857</x:v>
      </x:c>
      <x:c r="F11" s="107" t="n">
        <x:v>0.4286</x:v>
      </x:c>
      <x:c r="G11" s="108" t="n">
        <x:v>0.482304</x:v>
      </x:c>
      <x:c r="H11" s="106" t="str">
        <x:v>Negative</x:v>
      </x:c>
      <x:c r="I11" s="106" t="str">
        <x:v>https://www.bilibili.com</x:v>
      </x:c>
      <x:c r="J11" s="106" t="str">
        <x:v>https://www.xiaoheihe.cn</x:v>
      </x:c>
    </x:row>
    <x:row r="12">
      <x:c r="A12" s="106" t="str">
        <x:v>Mobility Strength Debate</x:v>
      </x:c>
      <x:c r="B12" s="106" t="n">
        <x:v>7</x:v>
      </x:c>
      <x:c r="C12" s="106" t="n">
        <x:v>0</x:v>
      </x:c>
      <x:c r="D12" s="107" t="n">
        <x:v>0.4286</x:v>
      </x:c>
      <x:c r="E12" s="107" t="n">
        <x:v>0.4286</x:v>
      </x:c>
      <x:c r="F12" s="107" t="n">
        <x:v>0.1429</x:v>
      </x:c>
      <x:c r="G12" s="108" t="n">
        <x:v>0.593134</x:v>
      </x:c>
      <x:c r="H12" s="106" t="str">
        <x:v>Neutral</x:v>
      </x:c>
      <x:c r="I12" s="106" t="str">
        <x:v>https://www.bilibili.com</x:v>
      </x:c>
      <x:c r="J12" s="106" t="str">
        <x:v>https://www.xiaoheihe.cn</x:v>
      </x:c>
    </x:row>
    <x:row r="13">
      <x:c r="A13" s="106" t="str">
        <x:v>Settings Help Requests</x:v>
      </x:c>
      <x:c r="B13" s="106" t="n">
        <x:v>5</x:v>
      </x:c>
      <x:c r="C13" s="106" t="n">
        <x:v>1</x:v>
      </x:c>
      <x:c r="D13" s="107" t="n">
        <x:v>0</x:v>
      </x:c>
      <x:c r="E13" s="107" t="n">
        <x:v>1</x:v>
      </x:c>
      <x:c r="F13" s="107" t="n">
        <x:v>0</x:v>
      </x:c>
      <x:c r="G13" s="108" t="n">
        <x:v>0.51082</x:v>
      </x:c>
      <x:c r="H13" s="106" t="str">
        <x:v>Neutral</x:v>
      </x:c>
      <x:c r="I13" s="106" t="str">
        <x:v>https://www.bilibili.com</x:v>
      </x:c>
      <x:c r="J13" s="106" t="str">
        <x:v>https://www.xiaoheihe.cn</x:v>
      </x:c>
    </x:row>
    <x:row r="14">
      <x:c r="A14" s="109" t="str">
        <x:v>Tournament Fairness Debate</x:v>
      </x:c>
      <x:c r="B14" s="109" t="n">
        <x:v>6</x:v>
      </x:c>
      <x:c r="C14" s="109" t="n">
        <x:v>0</x:v>
      </x:c>
      <x:c r="D14" s="110" t="n">
        <x:v>0</x:v>
      </x:c>
      <x:c r="E14" s="110" t="n">
        <x:v>0.3333</x:v>
      </x:c>
      <x:c r="F14" s="110" t="n">
        <x:v>0.6667000000000001</x:v>
      </x:c>
      <x:c r="G14" s="111" t="n">
        <x:v>0.276911</x:v>
      </x:c>
      <x:c r="H14" s="109" t="str">
        <x:v>Negative</x:v>
      </x:c>
      <x:c r="I14" s="109" t="str">
        <x:v>https://www.bilibili.com</x:v>
      </x:c>
      <x:c r="J14" s="109" t="str">
        <x:v>https://www.xiaoheihe.cn</x:v>
      </x:c>
    </x:row>
    <x:row r="15">
      <x:c r="A15" s="112"/>
      <x:c r="B15" s="112"/>
      <x:c r="C15" s="112"/>
      <x:c r="D15" s="112"/>
      <x:c r="E15" s="112"/>
      <x:c r="F15" s="112"/>
      <x:c r="G15" s="112"/>
      <x:c r="H15" s="112"/>
      <x:c r="I15" s="112"/>
      <x:c r="J15" s="112"/>
    </x:row>
    <x:row r="16">
      <x:c r="A16" s="113" t="str">
        <x:v>Top 10 mapped totals</x:v>
      </x:c>
      <x:c r="B16" s="114" t="n">
        <x:f>SUM(B5:B14)</x:f>
        <x:v>95</x:v>
      </x:c>
      <x:c r="C16" s="114" t="n">
        <x:f>SUM(C5:C14)</x:f>
        <x:v>10</x:v>
      </x:c>
      <x:c r="D16" s="114"/>
      <x:c r="E16" s="114" t="str">
        <x:v>Weighted negative rate</x:v>
      </x:c>
      <x:c r="F16" s="115" t="n">
        <x:f>SUMPRODUCT(B5:B14,F5:F14)/SUM(B5:B14)</x:f>
        <x:v>0.4105368421052632</x:v>
      </x:c>
      <x:c r="G16" s="112"/>
      <x:c r="H16" s="112"/>
      <x:c r="I16" s="112"/>
      <x:c r="J16" s="112"/>
    </x:row>
    <x:row r="17">
      <x:c r="A17" s="112"/>
      <x:c r="B17" s="112"/>
      <x:c r="C17" s="112"/>
      <x:c r="D17" s="112"/>
      <x:c r="E17" s="112"/>
      <x:c r="F17" s="112"/>
      <x:c r="G17" s="112"/>
      <x:c r="H17" s="112"/>
      <x:c r="I17" s="112"/>
      <x:c r="J17" s="112"/>
    </x:row>
    <x:row r="18">
      <x:c r="A18" s="100" t="str">
        <x:v>Quality field</x:v>
      </x:c>
      <x:c r="B18" s="102" t="str">
        <x:v>Value</x:v>
      </x:c>
      <x:c r="C18" s="112"/>
      <x:c r="D18" s="100" t="str">
        <x:v>Provenance field</x:v>
      </x:c>
      <x:c r="E18" s="102" t="str">
        <x:v>Value</x:v>
      </x:c>
      <x:c r="F18" s="112"/>
      <x:c r="G18" s="112"/>
      <x:c r="H18" s="112"/>
      <x:c r="I18" s="112"/>
      <x:c r="J18" s="112"/>
    </x:row>
    <x:row r="19">
      <x:c r="A19" s="116" t="str">
        <x:v>Bilibili raw rows</x:v>
      </x:c>
      <x:c r="B19" s="116" t="n">
        <x:v>186</x:v>
      </x:c>
      <x:c r="C19" s="112"/>
      <x:c r="D19" s="116" t="str">
        <x:v>Bilibili raw SHA-256</x:v>
      </x:c>
      <x:c r="E19" s="116" t="str">
        <x:v>32e040c1d251ae2085610df92f14277e384e69b8d56d8eb0ac775ae0dc3314ad</x:v>
      </x:c>
      <x:c r="F19" s="112"/>
      <x:c r="G19" s="112"/>
      <x:c r="H19" s="112"/>
      <x:c r="I19" s="112"/>
      <x:c r="J19" s="112"/>
    </x:row>
    <x:row r="20">
      <x:c r="A20" s="117" t="str">
        <x:v>Bilibili mapped rows</x:v>
      </x:c>
      <x:c r="B20" s="117" t="n">
        <x:v>105</x:v>
      </x:c>
      <x:c r="C20" s="112"/>
      <x:c r="D20" s="117" t="str">
        <x:v>Heybox raw SHA-256</x:v>
      </x:c>
      <x:c r="E20" s="117" t="str">
        <x:v>13c85e8bf5bbd8316180dc46a3407f672ef9ea5bbfcb65cbbb1798d4baca9a59</x:v>
      </x:c>
      <x:c r="F20" s="112"/>
      <x:c r="G20" s="112"/>
      <x:c r="H20" s="112"/>
      <x:c r="I20" s="112"/>
      <x:c r="J20" s="112"/>
    </x:row>
    <x:row r="21">
      <x:c r="A21" s="117" t="str">
        <x:v>Bilibili outliers</x:v>
      </x:c>
      <x:c r="B21" s="117" t="n">
        <x:v>44</x:v>
      </x:c>
      <x:c r="C21" s="112"/>
      <x:c r="D21" s="117" t="str">
        <x:v>Frozen model SHA-256</x:v>
      </x:c>
      <x:c r="E21" s="117" t="str">
        <x:v>40f0c48d7dee49f2c3f804b3a5a896828c671503708a30f84be5812fc7e463a5</x:v>
      </x:c>
      <x:c r="F21" s="112"/>
      <x:c r="G21" s="112"/>
      <x:c r="H21" s="112"/>
      <x:c r="I21" s="112"/>
      <x:c r="J21" s="112"/>
    </x:row>
    <x:row r="22">
      <x:c r="A22" s="117" t="str">
        <x:v>Bilibili low confidence</x:v>
      </x:c>
      <x:c r="B22" s="117" t="n">
        <x:v>66</x:v>
      </x:c>
      <x:c r="C22" s="112"/>
      <x:c r="D22" s="117" t="str">
        <x:v>Confidence</x:v>
      </x:c>
      <x:c r="E22" s="117" t="str">
        <x:v>HDBSCAN membership probability; topic -1 is 0.0</x:v>
      </x:c>
      <x:c r="F22" s="112"/>
      <x:c r="G22" s="112"/>
      <x:c r="H22" s="112"/>
      <x:c r="I22" s="112"/>
      <x:c r="J22" s="112"/>
    </x:row>
    <x:row r="23">
      <x:c r="A23" s="117" t="str">
        <x:v>Bilibili possible misclassification</x:v>
      </x:c>
      <x:c r="B23" s="117" t="n">
        <x:v>3</x:v>
      </x:c>
      <x:c r="C23" s="112"/>
      <x:c r="D23" s="117" t="str">
        <x:v>Heybox scope</x:v>
      </x:c>
      <x:c r="E23" s="117" t="str">
        <x:v>Public-search-visible post cards; no comment bodies</x:v>
      </x:c>
      <x:c r="F23" s="112"/>
      <x:c r="G23" s="112"/>
      <x:c r="H23" s="112"/>
      <x:c r="I23" s="112"/>
      <x:c r="J23" s="112"/>
    </x:row>
    <x:row r="24">
      <x:c r="A24" s="117" t="str">
        <x:v>Heybox raw rows</x:v>
      </x:c>
      <x:c r="B24" s="117" t="n">
        <x:v>12</x:v>
      </x:c>
      <x:c r="C24" s="112"/>
      <x:c r="D24" s="117" t="str">
        <x:v>Formal reporting</x:v>
      </x:c>
      <x:c r="E24" s="117" t="str">
        <x:v>Not qualified</x:v>
      </x:c>
      <x:c r="F24" s="112"/>
      <x:c r="G24" s="112"/>
      <x:c r="H24" s="112"/>
      <x:c r="I24" s="112"/>
      <x:c r="J24" s="112"/>
    </x:row>
    <x:row r="25">
      <x:c r="A25" s="118" t="str">
        <x:v>Heybox mapped rows</x:v>
      </x:c>
      <x:c r="B25" s="118" t="n">
        <x:v>10</x:v>
      </x:c>
      <x:c r="C25" s="112"/>
      <x:c r="D25" s="118" t="str">
        <x:v>Combined units</x:v>
      </x:c>
      <x:c r="E25" s="118" t="str">
        <x:v>Incomparable; exploratory view only</x:v>
      </x:c>
      <x:c r="F25" s="112"/>
      <x:c r="G25" s="112"/>
      <x:c r="H25" s="112"/>
      <x:c r="I25" s="112"/>
      <x:c r="J25" s="112"/>
    </x:row>
  </x:sheetData>
  <x:mergeCells>
    <x:mergeCell ref="A1:J1"/>
    <x:mergeCell ref="A2:J2"/>
  </x:mergeCells>
  <x:pageMargins left="0.7" right="0.7" top="0.75" bottom="0.75" header="0.3" footer="0.3"/>
</x:worksheet>
</file>